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ojtaba\Renardet\2224 WS11\Majlas\Hydraulic\Dam Breack\HEC_HMS_Majlas\Hydrology Data\XLS\"/>
    </mc:Choice>
  </mc:AlternateContent>
  <xr:revisionPtr revIDLastSave="0" documentId="13_ncr:1_{390B0CBB-A0CB-439A-8B3D-BC19CA9F68A2}" xr6:coauthVersionLast="47" xr6:coauthVersionMax="47" xr10:uidLastSave="{00000000-0000-0000-0000-000000000000}"/>
  <bookViews>
    <workbookView xWindow="28680" yWindow="-120" windowWidth="29040" windowHeight="15720" xr2:uid="{805C71FF-E4B3-4AAF-9646-9B4AE125430E}"/>
  </bookViews>
  <sheets>
    <sheet name="FM 10 min precipitation" sheetId="1" r:id="rId1"/>
    <sheet name="ignore this sheet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D5" i="1" l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2" i="3"/>
  <c r="O1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2" i="3"/>
  <c r="P2" i="3" s="1"/>
  <c r="P3" i="3" s="1"/>
  <c r="P4" i="3" s="1"/>
  <c r="P5" i="3" s="1"/>
  <c r="P6" i="3" s="1"/>
  <c r="P7" i="3" s="1"/>
  <c r="P8" i="3" s="1"/>
  <c r="P9" i="3" s="1"/>
  <c r="P10" i="3" s="1"/>
  <c r="P11" i="3" s="1"/>
  <c r="P12" i="3" s="1"/>
  <c r="P13" i="3" s="1"/>
  <c r="P14" i="3" s="1"/>
  <c r="P15" i="3" s="1"/>
  <c r="P16" i="3" s="1"/>
  <c r="P17" i="3" s="1"/>
  <c r="P18" i="3" s="1"/>
  <c r="P19" i="3" s="1"/>
  <c r="P20" i="3" s="1"/>
  <c r="P21" i="3" s="1"/>
  <c r="P22" i="3" s="1"/>
  <c r="P23" i="3" s="1"/>
  <c r="P24" i="3" s="1"/>
  <c r="P25" i="3" s="1"/>
  <c r="P26" i="3" s="1"/>
  <c r="P27" i="3" s="1"/>
  <c r="P28" i="3" s="1"/>
  <c r="P29" i="3" s="1"/>
  <c r="P30" i="3" s="1"/>
  <c r="P31" i="3" s="1"/>
  <c r="P32" i="3" s="1"/>
  <c r="P33" i="3" s="1"/>
  <c r="P34" i="3" s="1"/>
  <c r="P35" i="3" s="1"/>
  <c r="P36" i="3" s="1"/>
  <c r="P37" i="3" s="1"/>
  <c r="P38" i="3" s="1"/>
  <c r="P39" i="3" s="1"/>
  <c r="P40" i="3" s="1"/>
  <c r="P41" i="3" s="1"/>
  <c r="P42" i="3" s="1"/>
  <c r="P43" i="3" s="1"/>
  <c r="P44" i="3" s="1"/>
  <c r="P45" i="3" s="1"/>
  <c r="P46" i="3" s="1"/>
  <c r="P47" i="3" s="1"/>
  <c r="P48" i="3" s="1"/>
  <c r="P49" i="3" s="1"/>
  <c r="P50" i="3" s="1"/>
  <c r="P51" i="3" s="1"/>
  <c r="P52" i="3" s="1"/>
  <c r="P53" i="3" s="1"/>
  <c r="P54" i="3" s="1"/>
  <c r="P55" i="3" s="1"/>
  <c r="P56" i="3" s="1"/>
  <c r="P57" i="3" s="1"/>
  <c r="P58" i="3" s="1"/>
  <c r="P59" i="3" s="1"/>
  <c r="P60" i="3" s="1"/>
  <c r="P61" i="3" s="1"/>
  <c r="P62" i="3" s="1"/>
  <c r="P63" i="3" s="1"/>
  <c r="P64" i="3" s="1"/>
  <c r="P65" i="3" s="1"/>
  <c r="P66" i="3" s="1"/>
  <c r="P67" i="3" s="1"/>
  <c r="P68" i="3" s="1"/>
  <c r="P69" i="3" s="1"/>
  <c r="P70" i="3" s="1"/>
  <c r="P71" i="3" s="1"/>
  <c r="P72" i="3" s="1"/>
  <c r="P73" i="3" s="1"/>
  <c r="P74" i="3" s="1"/>
  <c r="P75" i="3" s="1"/>
  <c r="P76" i="3" s="1"/>
  <c r="P77" i="3" s="1"/>
  <c r="P78" i="3" s="1"/>
  <c r="P79" i="3" s="1"/>
  <c r="P80" i="3" s="1"/>
  <c r="P81" i="3" s="1"/>
  <c r="P82" i="3" s="1"/>
  <c r="P83" i="3" s="1"/>
  <c r="P84" i="3" s="1"/>
  <c r="P85" i="3" s="1"/>
  <c r="P86" i="3" s="1"/>
  <c r="P87" i="3" s="1"/>
  <c r="P88" i="3" s="1"/>
  <c r="P89" i="3" s="1"/>
  <c r="P90" i="3" s="1"/>
  <c r="P91" i="3" s="1"/>
  <c r="P92" i="3" s="1"/>
  <c r="P93" i="3" s="1"/>
  <c r="P94" i="3" s="1"/>
  <c r="P95" i="3" s="1"/>
  <c r="P96" i="3" s="1"/>
  <c r="P97" i="3" s="1"/>
  <c r="P98" i="3" s="1"/>
  <c r="P99" i="3" s="1"/>
  <c r="P100" i="3" s="1"/>
  <c r="P101" i="3" s="1"/>
  <c r="P102" i="3" s="1"/>
  <c r="P103" i="3" s="1"/>
  <c r="P104" i="3" s="1"/>
  <c r="P105" i="3" s="1"/>
  <c r="P106" i="3" s="1"/>
  <c r="P107" i="3" s="1"/>
  <c r="P108" i="3" s="1"/>
  <c r="P109" i="3" s="1"/>
  <c r="P110" i="3" s="1"/>
  <c r="P111" i="3" s="1"/>
  <c r="P112" i="3" s="1"/>
  <c r="P113" i="3" s="1"/>
  <c r="P114" i="3" s="1"/>
  <c r="P115" i="3" s="1"/>
  <c r="P116" i="3" s="1"/>
  <c r="P117" i="3" s="1"/>
  <c r="P118" i="3" s="1"/>
  <c r="P119" i="3" s="1"/>
  <c r="P120" i="3" s="1"/>
  <c r="P121" i="3" s="1"/>
  <c r="P122" i="3" s="1"/>
  <c r="P123" i="3" s="1"/>
  <c r="P124" i="3" s="1"/>
  <c r="P125" i="3" s="1"/>
  <c r="P126" i="3" s="1"/>
  <c r="P127" i="3" s="1"/>
  <c r="P128" i="3" s="1"/>
  <c r="P129" i="3" s="1"/>
  <c r="P130" i="3" s="1"/>
  <c r="P131" i="3" s="1"/>
  <c r="P132" i="3" s="1"/>
  <c r="P133" i="3" s="1"/>
  <c r="P134" i="3" s="1"/>
  <c r="P135" i="3" s="1"/>
  <c r="P136" i="3" s="1"/>
  <c r="P137" i="3" s="1"/>
  <c r="P138" i="3" s="1"/>
  <c r="P139" i="3" s="1"/>
  <c r="P140" i="3" s="1"/>
  <c r="P141" i="3" s="1"/>
  <c r="P142" i="3" s="1"/>
  <c r="P143" i="3" s="1"/>
  <c r="P144" i="3" s="1"/>
  <c r="P145" i="3" s="1"/>
  <c r="P146" i="3" s="1"/>
  <c r="AA30" i="3"/>
  <c r="G1" i="3"/>
  <c r="W4" i="3"/>
  <c r="W5" i="3" s="1"/>
  <c r="W6" i="3" s="1"/>
  <c r="W7" i="3" s="1"/>
  <c r="W8" i="3" s="1"/>
  <c r="W9" i="3" s="1"/>
  <c r="W10" i="3" s="1"/>
  <c r="W11" i="3" s="1"/>
  <c r="W12" i="3" s="1"/>
  <c r="W13" i="3" s="1"/>
  <c r="W14" i="3" s="1"/>
  <c r="W15" i="3" s="1"/>
  <c r="W16" i="3" s="1"/>
  <c r="W17" i="3" s="1"/>
  <c r="W18" i="3" s="1"/>
  <c r="W19" i="3" s="1"/>
  <c r="W20" i="3" s="1"/>
  <c r="W21" i="3" s="1"/>
  <c r="W22" i="3" s="1"/>
  <c r="W23" i="3" s="1"/>
  <c r="W24" i="3" s="1"/>
  <c r="W25" i="3" s="1"/>
  <c r="W26" i="3" s="1"/>
  <c r="W27" i="3" s="1"/>
  <c r="U2" i="3"/>
  <c r="J146" i="3" l="1"/>
  <c r="J145" i="3"/>
  <c r="J144" i="3"/>
  <c r="J143" i="3"/>
  <c r="J142" i="3"/>
  <c r="J141" i="3"/>
  <c r="J140" i="3"/>
  <c r="J139" i="3"/>
  <c r="J138" i="3"/>
  <c r="J137" i="3"/>
  <c r="J136" i="3"/>
  <c r="J135" i="3"/>
  <c r="J134" i="3"/>
  <c r="J133" i="3"/>
  <c r="J132" i="3"/>
  <c r="J131" i="3"/>
  <c r="J130" i="3"/>
  <c r="J129" i="3"/>
  <c r="J128" i="3"/>
  <c r="J127" i="3"/>
  <c r="J126" i="3"/>
  <c r="J125" i="3"/>
  <c r="J124" i="3"/>
  <c r="J123" i="3"/>
  <c r="J122" i="3"/>
  <c r="J121" i="3"/>
  <c r="J120" i="3"/>
  <c r="J119" i="3"/>
  <c r="J118" i="3"/>
  <c r="J117" i="3"/>
  <c r="J116" i="3"/>
  <c r="J115" i="3"/>
  <c r="J114" i="3"/>
  <c r="J113" i="3"/>
  <c r="J112" i="3"/>
  <c r="J111" i="3"/>
  <c r="J110" i="3"/>
  <c r="J109" i="3"/>
  <c r="J108" i="3"/>
  <c r="J107" i="3"/>
  <c r="J106" i="3"/>
  <c r="J105" i="3"/>
  <c r="J104" i="3"/>
  <c r="J103" i="3"/>
  <c r="J102" i="3"/>
  <c r="J101" i="3"/>
  <c r="J100" i="3"/>
  <c r="J99" i="3"/>
  <c r="J98" i="3"/>
  <c r="J97" i="3"/>
  <c r="J96" i="3"/>
  <c r="J95" i="3"/>
  <c r="J94" i="3"/>
  <c r="J93" i="3"/>
  <c r="J92" i="3"/>
  <c r="J91" i="3"/>
  <c r="J90" i="3"/>
  <c r="J89" i="3"/>
  <c r="J88" i="3"/>
  <c r="J87" i="3"/>
  <c r="J86" i="3"/>
  <c r="J85" i="3"/>
  <c r="J84" i="3"/>
  <c r="J83" i="3"/>
  <c r="J82" i="3"/>
  <c r="J81" i="3"/>
  <c r="J80" i="3"/>
  <c r="J79" i="3"/>
  <c r="J78" i="3"/>
  <c r="J77" i="3"/>
  <c r="J76" i="3"/>
  <c r="J75" i="3"/>
  <c r="J74" i="3"/>
  <c r="J73" i="3"/>
  <c r="J72" i="3"/>
  <c r="J71" i="3"/>
  <c r="J70" i="3"/>
  <c r="J69" i="3"/>
  <c r="J68" i="3"/>
  <c r="J67" i="3"/>
  <c r="J66" i="3"/>
  <c r="J65" i="3"/>
  <c r="J64" i="3"/>
  <c r="J63" i="3"/>
  <c r="J62" i="3"/>
  <c r="J61" i="3"/>
  <c r="J60" i="3"/>
  <c r="J59" i="3"/>
  <c r="J58" i="3"/>
  <c r="J57" i="3"/>
  <c r="J56" i="3"/>
  <c r="J55" i="3"/>
  <c r="J54" i="3"/>
  <c r="J53" i="3"/>
  <c r="J52" i="3"/>
  <c r="J51" i="3"/>
  <c r="J50" i="3"/>
  <c r="J49" i="3"/>
  <c r="J48" i="3"/>
  <c r="J47" i="3"/>
  <c r="J46" i="3"/>
  <c r="J45" i="3"/>
  <c r="J44" i="3"/>
  <c r="J43" i="3"/>
  <c r="J42" i="3"/>
  <c r="J41" i="3"/>
  <c r="J40" i="3"/>
  <c r="J39" i="3"/>
  <c r="J38" i="3"/>
  <c r="J37" i="3"/>
  <c r="J36" i="3"/>
  <c r="J35" i="3"/>
  <c r="J34" i="3"/>
  <c r="J33" i="3"/>
  <c r="J32" i="3"/>
  <c r="J31" i="3"/>
  <c r="J30" i="3"/>
  <c r="J29" i="3"/>
  <c r="J28" i="3"/>
  <c r="J27" i="3"/>
  <c r="J26" i="3"/>
  <c r="J25" i="3"/>
  <c r="J24" i="3"/>
  <c r="J23" i="3"/>
  <c r="J22" i="3"/>
  <c r="J21" i="3"/>
  <c r="J20" i="3"/>
  <c r="J19" i="3"/>
  <c r="J18" i="3"/>
  <c r="J17" i="3"/>
  <c r="J16" i="3"/>
  <c r="J15" i="3"/>
  <c r="J14" i="3"/>
  <c r="J13" i="3"/>
  <c r="J12" i="3"/>
  <c r="J11" i="3"/>
  <c r="J10" i="3"/>
  <c r="J9" i="3"/>
  <c r="J8" i="3"/>
  <c r="J7" i="3"/>
  <c r="J6" i="3"/>
  <c r="J5" i="3"/>
  <c r="J4" i="3"/>
  <c r="M3" i="3"/>
  <c r="J3" i="3"/>
  <c r="J2" i="3"/>
  <c r="J1" i="3"/>
  <c r="AG2" i="1"/>
  <c r="AD4" i="1" s="1"/>
  <c r="O148" i="1"/>
  <c r="N148" i="1"/>
  <c r="M148" i="1"/>
  <c r="L148" i="1"/>
  <c r="K148" i="1"/>
  <c r="J148" i="1"/>
  <c r="Q148" i="1" s="1"/>
  <c r="O147" i="1"/>
  <c r="N147" i="1"/>
  <c r="M147" i="1"/>
  <c r="L147" i="1"/>
  <c r="K147" i="1"/>
  <c r="J147" i="1"/>
  <c r="Q147" i="1" s="1"/>
  <c r="O146" i="1"/>
  <c r="N146" i="1"/>
  <c r="M146" i="1"/>
  <c r="L146" i="1"/>
  <c r="K146" i="1"/>
  <c r="J146" i="1"/>
  <c r="Q146" i="1" s="1"/>
  <c r="O145" i="1"/>
  <c r="N145" i="1"/>
  <c r="M145" i="1"/>
  <c r="L145" i="1"/>
  <c r="K145" i="1"/>
  <c r="J145" i="1"/>
  <c r="Q145" i="1" s="1"/>
  <c r="O144" i="1"/>
  <c r="N144" i="1"/>
  <c r="M144" i="1"/>
  <c r="L144" i="1"/>
  <c r="K144" i="1"/>
  <c r="J144" i="1"/>
  <c r="Q144" i="1" s="1"/>
  <c r="O143" i="1"/>
  <c r="N143" i="1"/>
  <c r="M143" i="1"/>
  <c r="L143" i="1"/>
  <c r="K143" i="1"/>
  <c r="J143" i="1"/>
  <c r="Q143" i="1" s="1"/>
  <c r="O142" i="1"/>
  <c r="N142" i="1"/>
  <c r="M142" i="1"/>
  <c r="L142" i="1"/>
  <c r="K142" i="1"/>
  <c r="J142" i="1"/>
  <c r="Q142" i="1" s="1"/>
  <c r="O141" i="1"/>
  <c r="N141" i="1"/>
  <c r="M141" i="1"/>
  <c r="L141" i="1"/>
  <c r="K141" i="1"/>
  <c r="J141" i="1"/>
  <c r="Q141" i="1" s="1"/>
  <c r="O140" i="1"/>
  <c r="N140" i="1"/>
  <c r="M140" i="1"/>
  <c r="L140" i="1"/>
  <c r="K140" i="1"/>
  <c r="J140" i="1"/>
  <c r="Q140" i="1" s="1"/>
  <c r="O139" i="1"/>
  <c r="N139" i="1"/>
  <c r="M139" i="1"/>
  <c r="L139" i="1"/>
  <c r="K139" i="1"/>
  <c r="J139" i="1"/>
  <c r="Q139" i="1" s="1"/>
  <c r="O138" i="1"/>
  <c r="N138" i="1"/>
  <c r="M138" i="1"/>
  <c r="L138" i="1"/>
  <c r="K138" i="1"/>
  <c r="J138" i="1"/>
  <c r="Q138" i="1" s="1"/>
  <c r="O137" i="1"/>
  <c r="N137" i="1"/>
  <c r="M137" i="1"/>
  <c r="L137" i="1"/>
  <c r="K137" i="1"/>
  <c r="J137" i="1"/>
  <c r="Q137" i="1" s="1"/>
  <c r="O136" i="1"/>
  <c r="N136" i="1"/>
  <c r="M136" i="1"/>
  <c r="L136" i="1"/>
  <c r="K136" i="1"/>
  <c r="J136" i="1"/>
  <c r="Q136" i="1" s="1"/>
  <c r="O135" i="1"/>
  <c r="N135" i="1"/>
  <c r="M135" i="1"/>
  <c r="L135" i="1"/>
  <c r="K135" i="1"/>
  <c r="J135" i="1"/>
  <c r="Q135" i="1" s="1"/>
  <c r="O134" i="1"/>
  <c r="N134" i="1"/>
  <c r="M134" i="1"/>
  <c r="L134" i="1"/>
  <c r="K134" i="1"/>
  <c r="J134" i="1"/>
  <c r="Q134" i="1" s="1"/>
  <c r="O133" i="1"/>
  <c r="N133" i="1"/>
  <c r="M133" i="1"/>
  <c r="L133" i="1"/>
  <c r="K133" i="1"/>
  <c r="J133" i="1"/>
  <c r="Q133" i="1" s="1"/>
  <c r="O132" i="1"/>
  <c r="N132" i="1"/>
  <c r="M132" i="1"/>
  <c r="L132" i="1"/>
  <c r="K132" i="1"/>
  <c r="J132" i="1"/>
  <c r="Q132" i="1" s="1"/>
  <c r="O131" i="1"/>
  <c r="N131" i="1"/>
  <c r="M131" i="1"/>
  <c r="L131" i="1"/>
  <c r="K131" i="1"/>
  <c r="J131" i="1"/>
  <c r="Q131" i="1" s="1"/>
  <c r="O130" i="1"/>
  <c r="N130" i="1"/>
  <c r="M130" i="1"/>
  <c r="L130" i="1"/>
  <c r="K130" i="1"/>
  <c r="J130" i="1"/>
  <c r="Q130" i="1" s="1"/>
  <c r="O129" i="1"/>
  <c r="N129" i="1"/>
  <c r="M129" i="1"/>
  <c r="L129" i="1"/>
  <c r="K129" i="1"/>
  <c r="J129" i="1"/>
  <c r="Q129" i="1" s="1"/>
  <c r="O128" i="1"/>
  <c r="N128" i="1"/>
  <c r="M128" i="1"/>
  <c r="L128" i="1"/>
  <c r="K128" i="1"/>
  <c r="J128" i="1"/>
  <c r="Q128" i="1" s="1"/>
  <c r="O127" i="1"/>
  <c r="N127" i="1"/>
  <c r="M127" i="1"/>
  <c r="L127" i="1"/>
  <c r="K127" i="1"/>
  <c r="J127" i="1"/>
  <c r="Q127" i="1" s="1"/>
  <c r="O126" i="1"/>
  <c r="N126" i="1"/>
  <c r="M126" i="1"/>
  <c r="L126" i="1"/>
  <c r="K126" i="1"/>
  <c r="J126" i="1"/>
  <c r="Q126" i="1" s="1"/>
  <c r="O125" i="1"/>
  <c r="N125" i="1"/>
  <c r="M125" i="1"/>
  <c r="L125" i="1"/>
  <c r="K125" i="1"/>
  <c r="J125" i="1"/>
  <c r="Q125" i="1" s="1"/>
  <c r="O124" i="1"/>
  <c r="N124" i="1"/>
  <c r="M124" i="1"/>
  <c r="L124" i="1"/>
  <c r="K124" i="1"/>
  <c r="J124" i="1"/>
  <c r="Q124" i="1" s="1"/>
  <c r="O123" i="1"/>
  <c r="N123" i="1"/>
  <c r="M123" i="1"/>
  <c r="L123" i="1"/>
  <c r="K123" i="1"/>
  <c r="J123" i="1"/>
  <c r="Q123" i="1" s="1"/>
  <c r="O122" i="1"/>
  <c r="N122" i="1"/>
  <c r="M122" i="1"/>
  <c r="L122" i="1"/>
  <c r="K122" i="1"/>
  <c r="J122" i="1"/>
  <c r="Q122" i="1" s="1"/>
  <c r="O121" i="1"/>
  <c r="N121" i="1"/>
  <c r="M121" i="1"/>
  <c r="L121" i="1"/>
  <c r="K121" i="1"/>
  <c r="J121" i="1"/>
  <c r="Q121" i="1" s="1"/>
  <c r="O120" i="1"/>
  <c r="N120" i="1"/>
  <c r="M120" i="1"/>
  <c r="L120" i="1"/>
  <c r="K120" i="1"/>
  <c r="J120" i="1"/>
  <c r="Q120" i="1" s="1"/>
  <c r="O119" i="1"/>
  <c r="N119" i="1"/>
  <c r="M119" i="1"/>
  <c r="L119" i="1"/>
  <c r="K119" i="1"/>
  <c r="J119" i="1"/>
  <c r="Q119" i="1" s="1"/>
  <c r="O118" i="1"/>
  <c r="N118" i="1"/>
  <c r="M118" i="1"/>
  <c r="L118" i="1"/>
  <c r="K118" i="1"/>
  <c r="J118" i="1"/>
  <c r="Q118" i="1" s="1"/>
  <c r="O117" i="1"/>
  <c r="N117" i="1"/>
  <c r="M117" i="1"/>
  <c r="L117" i="1"/>
  <c r="K117" i="1"/>
  <c r="J117" i="1"/>
  <c r="Q117" i="1" s="1"/>
  <c r="O116" i="1"/>
  <c r="N116" i="1"/>
  <c r="M116" i="1"/>
  <c r="L116" i="1"/>
  <c r="K116" i="1"/>
  <c r="J116" i="1"/>
  <c r="Q116" i="1" s="1"/>
  <c r="O115" i="1"/>
  <c r="N115" i="1"/>
  <c r="M115" i="1"/>
  <c r="L115" i="1"/>
  <c r="K115" i="1"/>
  <c r="J115" i="1"/>
  <c r="Q115" i="1" s="1"/>
  <c r="O114" i="1"/>
  <c r="N114" i="1"/>
  <c r="M114" i="1"/>
  <c r="L114" i="1"/>
  <c r="K114" i="1"/>
  <c r="J114" i="1"/>
  <c r="Q114" i="1" s="1"/>
  <c r="O113" i="1"/>
  <c r="N113" i="1"/>
  <c r="M113" i="1"/>
  <c r="L113" i="1"/>
  <c r="K113" i="1"/>
  <c r="J113" i="1"/>
  <c r="Q113" i="1" s="1"/>
  <c r="O112" i="1"/>
  <c r="N112" i="1"/>
  <c r="M112" i="1"/>
  <c r="L112" i="1"/>
  <c r="K112" i="1"/>
  <c r="J112" i="1"/>
  <c r="Q112" i="1" s="1"/>
  <c r="O111" i="1"/>
  <c r="N111" i="1"/>
  <c r="M111" i="1"/>
  <c r="L111" i="1"/>
  <c r="K111" i="1"/>
  <c r="J111" i="1"/>
  <c r="Q111" i="1" s="1"/>
  <c r="O110" i="1"/>
  <c r="N110" i="1"/>
  <c r="M110" i="1"/>
  <c r="L110" i="1"/>
  <c r="K110" i="1"/>
  <c r="J110" i="1"/>
  <c r="Q110" i="1" s="1"/>
  <c r="O109" i="1"/>
  <c r="N109" i="1"/>
  <c r="M109" i="1"/>
  <c r="L109" i="1"/>
  <c r="K109" i="1"/>
  <c r="J109" i="1"/>
  <c r="Q109" i="1" s="1"/>
  <c r="O108" i="1"/>
  <c r="N108" i="1"/>
  <c r="M108" i="1"/>
  <c r="L108" i="1"/>
  <c r="K108" i="1"/>
  <c r="J108" i="1"/>
  <c r="Q108" i="1" s="1"/>
  <c r="O107" i="1"/>
  <c r="N107" i="1"/>
  <c r="M107" i="1"/>
  <c r="L107" i="1"/>
  <c r="K107" i="1"/>
  <c r="J107" i="1"/>
  <c r="Q107" i="1" s="1"/>
  <c r="O106" i="1"/>
  <c r="N106" i="1"/>
  <c r="M106" i="1"/>
  <c r="L106" i="1"/>
  <c r="K106" i="1"/>
  <c r="J106" i="1"/>
  <c r="Q106" i="1" s="1"/>
  <c r="O105" i="1"/>
  <c r="N105" i="1"/>
  <c r="M105" i="1"/>
  <c r="L105" i="1"/>
  <c r="K105" i="1"/>
  <c r="J105" i="1"/>
  <c r="Q105" i="1" s="1"/>
  <c r="O104" i="1"/>
  <c r="N104" i="1"/>
  <c r="M104" i="1"/>
  <c r="L104" i="1"/>
  <c r="K104" i="1"/>
  <c r="J104" i="1"/>
  <c r="Q104" i="1" s="1"/>
  <c r="O103" i="1"/>
  <c r="N103" i="1"/>
  <c r="M103" i="1"/>
  <c r="L103" i="1"/>
  <c r="K103" i="1"/>
  <c r="J103" i="1"/>
  <c r="Q103" i="1" s="1"/>
  <c r="O102" i="1"/>
  <c r="N102" i="1"/>
  <c r="M102" i="1"/>
  <c r="L102" i="1"/>
  <c r="K102" i="1"/>
  <c r="J102" i="1"/>
  <c r="Q102" i="1" s="1"/>
  <c r="O101" i="1"/>
  <c r="N101" i="1"/>
  <c r="M101" i="1"/>
  <c r="L101" i="1"/>
  <c r="K101" i="1"/>
  <c r="J101" i="1"/>
  <c r="Q101" i="1" s="1"/>
  <c r="O100" i="1"/>
  <c r="N100" i="1"/>
  <c r="M100" i="1"/>
  <c r="L100" i="1"/>
  <c r="K100" i="1"/>
  <c r="J100" i="1"/>
  <c r="Q100" i="1" s="1"/>
  <c r="O99" i="1"/>
  <c r="N99" i="1"/>
  <c r="M99" i="1"/>
  <c r="L99" i="1"/>
  <c r="K99" i="1"/>
  <c r="J99" i="1"/>
  <c r="Q99" i="1" s="1"/>
  <c r="O98" i="1"/>
  <c r="N98" i="1"/>
  <c r="M98" i="1"/>
  <c r="L98" i="1"/>
  <c r="K98" i="1"/>
  <c r="J98" i="1"/>
  <c r="Q98" i="1" s="1"/>
  <c r="O97" i="1"/>
  <c r="N97" i="1"/>
  <c r="M97" i="1"/>
  <c r="L97" i="1"/>
  <c r="K97" i="1"/>
  <c r="J97" i="1"/>
  <c r="Q97" i="1" s="1"/>
  <c r="O96" i="1"/>
  <c r="N96" i="1"/>
  <c r="M96" i="1"/>
  <c r="L96" i="1"/>
  <c r="K96" i="1"/>
  <c r="J96" i="1"/>
  <c r="Q96" i="1" s="1"/>
  <c r="O95" i="1"/>
  <c r="N95" i="1"/>
  <c r="M95" i="1"/>
  <c r="L95" i="1"/>
  <c r="K95" i="1"/>
  <c r="J95" i="1"/>
  <c r="Q95" i="1" s="1"/>
  <c r="O94" i="1"/>
  <c r="N94" i="1"/>
  <c r="M94" i="1"/>
  <c r="L94" i="1"/>
  <c r="K94" i="1"/>
  <c r="J94" i="1"/>
  <c r="Q94" i="1" s="1"/>
  <c r="O93" i="1"/>
  <c r="N93" i="1"/>
  <c r="M93" i="1"/>
  <c r="L93" i="1"/>
  <c r="K93" i="1"/>
  <c r="J93" i="1"/>
  <c r="Q93" i="1" s="1"/>
  <c r="O92" i="1"/>
  <c r="N92" i="1"/>
  <c r="M92" i="1"/>
  <c r="L92" i="1"/>
  <c r="K92" i="1"/>
  <c r="J92" i="1"/>
  <c r="Q92" i="1" s="1"/>
  <c r="O91" i="1"/>
  <c r="N91" i="1"/>
  <c r="M91" i="1"/>
  <c r="L91" i="1"/>
  <c r="K91" i="1"/>
  <c r="J91" i="1"/>
  <c r="Q91" i="1" s="1"/>
  <c r="O90" i="1"/>
  <c r="N90" i="1"/>
  <c r="M90" i="1"/>
  <c r="L90" i="1"/>
  <c r="K90" i="1"/>
  <c r="J90" i="1"/>
  <c r="Q90" i="1" s="1"/>
  <c r="O89" i="1"/>
  <c r="N89" i="1"/>
  <c r="M89" i="1"/>
  <c r="L89" i="1"/>
  <c r="K89" i="1"/>
  <c r="J89" i="1"/>
  <c r="Q89" i="1" s="1"/>
  <c r="O88" i="1"/>
  <c r="N88" i="1"/>
  <c r="M88" i="1"/>
  <c r="L88" i="1"/>
  <c r="K88" i="1"/>
  <c r="J88" i="1"/>
  <c r="Q88" i="1" s="1"/>
  <c r="O87" i="1"/>
  <c r="N87" i="1"/>
  <c r="M87" i="1"/>
  <c r="L87" i="1"/>
  <c r="K87" i="1"/>
  <c r="J87" i="1"/>
  <c r="Q87" i="1" s="1"/>
  <c r="O86" i="1"/>
  <c r="N86" i="1"/>
  <c r="M86" i="1"/>
  <c r="L86" i="1"/>
  <c r="K86" i="1"/>
  <c r="J86" i="1"/>
  <c r="Q86" i="1" s="1"/>
  <c r="O85" i="1"/>
  <c r="N85" i="1"/>
  <c r="M85" i="1"/>
  <c r="L85" i="1"/>
  <c r="K85" i="1"/>
  <c r="J85" i="1"/>
  <c r="Q85" i="1" s="1"/>
  <c r="O84" i="1"/>
  <c r="N84" i="1"/>
  <c r="M84" i="1"/>
  <c r="L84" i="1"/>
  <c r="K84" i="1"/>
  <c r="J84" i="1"/>
  <c r="Q84" i="1" s="1"/>
  <c r="O83" i="1"/>
  <c r="N83" i="1"/>
  <c r="M83" i="1"/>
  <c r="L83" i="1"/>
  <c r="K83" i="1"/>
  <c r="J83" i="1"/>
  <c r="Q83" i="1" s="1"/>
  <c r="O82" i="1"/>
  <c r="N82" i="1"/>
  <c r="M82" i="1"/>
  <c r="L82" i="1"/>
  <c r="K82" i="1"/>
  <c r="J82" i="1"/>
  <c r="Q82" i="1" s="1"/>
  <c r="O81" i="1"/>
  <c r="N81" i="1"/>
  <c r="M81" i="1"/>
  <c r="L81" i="1"/>
  <c r="K81" i="1"/>
  <c r="J81" i="1"/>
  <c r="Q81" i="1" s="1"/>
  <c r="O80" i="1"/>
  <c r="N80" i="1"/>
  <c r="M80" i="1"/>
  <c r="L80" i="1"/>
  <c r="K80" i="1"/>
  <c r="J80" i="1"/>
  <c r="Q80" i="1" s="1"/>
  <c r="O79" i="1"/>
  <c r="N79" i="1"/>
  <c r="M79" i="1"/>
  <c r="L79" i="1"/>
  <c r="K79" i="1"/>
  <c r="J79" i="1"/>
  <c r="Q79" i="1" s="1"/>
  <c r="O78" i="1"/>
  <c r="N78" i="1"/>
  <c r="M78" i="1"/>
  <c r="L78" i="1"/>
  <c r="K78" i="1"/>
  <c r="J78" i="1"/>
  <c r="Q78" i="1" s="1"/>
  <c r="O77" i="1"/>
  <c r="N77" i="1"/>
  <c r="M77" i="1"/>
  <c r="L77" i="1"/>
  <c r="K77" i="1"/>
  <c r="J77" i="1"/>
  <c r="Q77" i="1" s="1"/>
  <c r="O76" i="1"/>
  <c r="N76" i="1"/>
  <c r="M76" i="1"/>
  <c r="L76" i="1"/>
  <c r="K76" i="1"/>
  <c r="J76" i="1"/>
  <c r="Q76" i="1" s="1"/>
  <c r="O75" i="1"/>
  <c r="N75" i="1"/>
  <c r="M75" i="1"/>
  <c r="L75" i="1"/>
  <c r="K75" i="1"/>
  <c r="J75" i="1"/>
  <c r="Q75" i="1" s="1"/>
  <c r="O74" i="1"/>
  <c r="N74" i="1"/>
  <c r="M74" i="1"/>
  <c r="L74" i="1"/>
  <c r="K74" i="1"/>
  <c r="J74" i="1"/>
  <c r="Q74" i="1" s="1"/>
  <c r="O73" i="1"/>
  <c r="N73" i="1"/>
  <c r="M73" i="1"/>
  <c r="L73" i="1"/>
  <c r="K73" i="1"/>
  <c r="J73" i="1"/>
  <c r="Q73" i="1" s="1"/>
  <c r="O72" i="1"/>
  <c r="N72" i="1"/>
  <c r="M72" i="1"/>
  <c r="L72" i="1"/>
  <c r="K72" i="1"/>
  <c r="J72" i="1"/>
  <c r="Q72" i="1" s="1"/>
  <c r="O71" i="1"/>
  <c r="N71" i="1"/>
  <c r="M71" i="1"/>
  <c r="L71" i="1"/>
  <c r="K71" i="1"/>
  <c r="J71" i="1"/>
  <c r="Q71" i="1" s="1"/>
  <c r="O70" i="1"/>
  <c r="N70" i="1"/>
  <c r="M70" i="1"/>
  <c r="L70" i="1"/>
  <c r="K70" i="1"/>
  <c r="J70" i="1"/>
  <c r="Q70" i="1" s="1"/>
  <c r="O69" i="1"/>
  <c r="N69" i="1"/>
  <c r="M69" i="1"/>
  <c r="L69" i="1"/>
  <c r="K69" i="1"/>
  <c r="J69" i="1"/>
  <c r="Q69" i="1" s="1"/>
  <c r="O68" i="1"/>
  <c r="N68" i="1"/>
  <c r="M68" i="1"/>
  <c r="L68" i="1"/>
  <c r="K68" i="1"/>
  <c r="J68" i="1"/>
  <c r="Q68" i="1" s="1"/>
  <c r="O67" i="1"/>
  <c r="N67" i="1"/>
  <c r="M67" i="1"/>
  <c r="L67" i="1"/>
  <c r="K67" i="1"/>
  <c r="J67" i="1"/>
  <c r="Q67" i="1" s="1"/>
  <c r="O66" i="1"/>
  <c r="N66" i="1"/>
  <c r="M66" i="1"/>
  <c r="L66" i="1"/>
  <c r="K66" i="1"/>
  <c r="J66" i="1"/>
  <c r="Q66" i="1" s="1"/>
  <c r="O65" i="1"/>
  <c r="N65" i="1"/>
  <c r="M65" i="1"/>
  <c r="L65" i="1"/>
  <c r="K65" i="1"/>
  <c r="J65" i="1"/>
  <c r="Q65" i="1" s="1"/>
  <c r="O64" i="1"/>
  <c r="N64" i="1"/>
  <c r="M64" i="1"/>
  <c r="L64" i="1"/>
  <c r="K64" i="1"/>
  <c r="J64" i="1"/>
  <c r="Q64" i="1" s="1"/>
  <c r="O63" i="1"/>
  <c r="N63" i="1"/>
  <c r="M63" i="1"/>
  <c r="L63" i="1"/>
  <c r="K63" i="1"/>
  <c r="J63" i="1"/>
  <c r="Q63" i="1" s="1"/>
  <c r="O62" i="1"/>
  <c r="N62" i="1"/>
  <c r="M62" i="1"/>
  <c r="L62" i="1"/>
  <c r="K62" i="1"/>
  <c r="J62" i="1"/>
  <c r="Q62" i="1" s="1"/>
  <c r="O61" i="1"/>
  <c r="N61" i="1"/>
  <c r="M61" i="1"/>
  <c r="L61" i="1"/>
  <c r="K61" i="1"/>
  <c r="J61" i="1"/>
  <c r="Q61" i="1" s="1"/>
  <c r="O60" i="1"/>
  <c r="N60" i="1"/>
  <c r="M60" i="1"/>
  <c r="L60" i="1"/>
  <c r="K60" i="1"/>
  <c r="J60" i="1"/>
  <c r="Q60" i="1" s="1"/>
  <c r="O59" i="1"/>
  <c r="N59" i="1"/>
  <c r="M59" i="1"/>
  <c r="L59" i="1"/>
  <c r="K59" i="1"/>
  <c r="J59" i="1"/>
  <c r="Q59" i="1" s="1"/>
  <c r="O58" i="1"/>
  <c r="N58" i="1"/>
  <c r="M58" i="1"/>
  <c r="L58" i="1"/>
  <c r="K58" i="1"/>
  <c r="J58" i="1"/>
  <c r="Q58" i="1" s="1"/>
  <c r="O57" i="1"/>
  <c r="N57" i="1"/>
  <c r="M57" i="1"/>
  <c r="L57" i="1"/>
  <c r="K57" i="1"/>
  <c r="J57" i="1"/>
  <c r="Q57" i="1" s="1"/>
  <c r="O56" i="1"/>
  <c r="N56" i="1"/>
  <c r="M56" i="1"/>
  <c r="L56" i="1"/>
  <c r="K56" i="1"/>
  <c r="J56" i="1"/>
  <c r="Q56" i="1" s="1"/>
  <c r="O55" i="1"/>
  <c r="N55" i="1"/>
  <c r="M55" i="1"/>
  <c r="L55" i="1"/>
  <c r="K55" i="1"/>
  <c r="J55" i="1"/>
  <c r="Q55" i="1" s="1"/>
  <c r="O54" i="1"/>
  <c r="N54" i="1"/>
  <c r="M54" i="1"/>
  <c r="L54" i="1"/>
  <c r="K54" i="1"/>
  <c r="J54" i="1"/>
  <c r="Q54" i="1" s="1"/>
  <c r="O53" i="1"/>
  <c r="N53" i="1"/>
  <c r="M53" i="1"/>
  <c r="L53" i="1"/>
  <c r="K53" i="1"/>
  <c r="J53" i="1"/>
  <c r="Q53" i="1" s="1"/>
  <c r="O52" i="1"/>
  <c r="N52" i="1"/>
  <c r="M52" i="1"/>
  <c r="L52" i="1"/>
  <c r="K52" i="1"/>
  <c r="J52" i="1"/>
  <c r="Q52" i="1" s="1"/>
  <c r="O51" i="1"/>
  <c r="N51" i="1"/>
  <c r="M51" i="1"/>
  <c r="L51" i="1"/>
  <c r="K51" i="1"/>
  <c r="J51" i="1"/>
  <c r="Q51" i="1" s="1"/>
  <c r="O50" i="1"/>
  <c r="N50" i="1"/>
  <c r="M50" i="1"/>
  <c r="L50" i="1"/>
  <c r="K50" i="1"/>
  <c r="J50" i="1"/>
  <c r="Q50" i="1" s="1"/>
  <c r="O49" i="1"/>
  <c r="N49" i="1"/>
  <c r="M49" i="1"/>
  <c r="L49" i="1"/>
  <c r="K49" i="1"/>
  <c r="J49" i="1"/>
  <c r="Q49" i="1" s="1"/>
  <c r="O48" i="1"/>
  <c r="N48" i="1"/>
  <c r="M48" i="1"/>
  <c r="L48" i="1"/>
  <c r="K48" i="1"/>
  <c r="J48" i="1"/>
  <c r="Q48" i="1" s="1"/>
  <c r="O47" i="1"/>
  <c r="N47" i="1"/>
  <c r="M47" i="1"/>
  <c r="L47" i="1"/>
  <c r="K47" i="1"/>
  <c r="J47" i="1"/>
  <c r="Q47" i="1" s="1"/>
  <c r="O46" i="1"/>
  <c r="N46" i="1"/>
  <c r="M46" i="1"/>
  <c r="L46" i="1"/>
  <c r="K46" i="1"/>
  <c r="J46" i="1"/>
  <c r="Q46" i="1" s="1"/>
  <c r="O45" i="1"/>
  <c r="N45" i="1"/>
  <c r="M45" i="1"/>
  <c r="L45" i="1"/>
  <c r="K45" i="1"/>
  <c r="J45" i="1"/>
  <c r="Q45" i="1" s="1"/>
  <c r="O44" i="1"/>
  <c r="N44" i="1"/>
  <c r="M44" i="1"/>
  <c r="L44" i="1"/>
  <c r="K44" i="1"/>
  <c r="J44" i="1"/>
  <c r="Q44" i="1" s="1"/>
  <c r="O43" i="1"/>
  <c r="N43" i="1"/>
  <c r="M43" i="1"/>
  <c r="L43" i="1"/>
  <c r="K43" i="1"/>
  <c r="J43" i="1"/>
  <c r="Q43" i="1" s="1"/>
  <c r="O42" i="1"/>
  <c r="N42" i="1"/>
  <c r="M42" i="1"/>
  <c r="L42" i="1"/>
  <c r="K42" i="1"/>
  <c r="J42" i="1"/>
  <c r="Q42" i="1" s="1"/>
  <c r="O41" i="1"/>
  <c r="N41" i="1"/>
  <c r="M41" i="1"/>
  <c r="L41" i="1"/>
  <c r="K41" i="1"/>
  <c r="J41" i="1"/>
  <c r="Q41" i="1" s="1"/>
  <c r="O40" i="1"/>
  <c r="N40" i="1"/>
  <c r="M40" i="1"/>
  <c r="L40" i="1"/>
  <c r="K40" i="1"/>
  <c r="J40" i="1"/>
  <c r="Q40" i="1" s="1"/>
  <c r="O39" i="1"/>
  <c r="N39" i="1"/>
  <c r="M39" i="1"/>
  <c r="L39" i="1"/>
  <c r="K39" i="1"/>
  <c r="J39" i="1"/>
  <c r="Q39" i="1" s="1"/>
  <c r="O38" i="1"/>
  <c r="N38" i="1"/>
  <c r="M38" i="1"/>
  <c r="L38" i="1"/>
  <c r="K38" i="1"/>
  <c r="J38" i="1"/>
  <c r="Q38" i="1" s="1"/>
  <c r="O37" i="1"/>
  <c r="N37" i="1"/>
  <c r="M37" i="1"/>
  <c r="L37" i="1"/>
  <c r="K37" i="1"/>
  <c r="J37" i="1"/>
  <c r="Q37" i="1" s="1"/>
  <c r="O36" i="1"/>
  <c r="N36" i="1"/>
  <c r="M36" i="1"/>
  <c r="L36" i="1"/>
  <c r="K36" i="1"/>
  <c r="J36" i="1"/>
  <c r="Q36" i="1" s="1"/>
  <c r="O35" i="1"/>
  <c r="N35" i="1"/>
  <c r="M35" i="1"/>
  <c r="L35" i="1"/>
  <c r="K35" i="1"/>
  <c r="J35" i="1"/>
  <c r="Q35" i="1" s="1"/>
  <c r="O34" i="1"/>
  <c r="N34" i="1"/>
  <c r="M34" i="1"/>
  <c r="L34" i="1"/>
  <c r="K34" i="1"/>
  <c r="J34" i="1"/>
  <c r="Q34" i="1" s="1"/>
  <c r="O33" i="1"/>
  <c r="N33" i="1"/>
  <c r="M33" i="1"/>
  <c r="L33" i="1"/>
  <c r="K33" i="1"/>
  <c r="J33" i="1"/>
  <c r="Q33" i="1" s="1"/>
  <c r="O32" i="1"/>
  <c r="N32" i="1"/>
  <c r="M32" i="1"/>
  <c r="L32" i="1"/>
  <c r="K32" i="1"/>
  <c r="J32" i="1"/>
  <c r="Q32" i="1" s="1"/>
  <c r="O31" i="1"/>
  <c r="N31" i="1"/>
  <c r="M31" i="1"/>
  <c r="L31" i="1"/>
  <c r="K31" i="1"/>
  <c r="J31" i="1"/>
  <c r="Q31" i="1" s="1"/>
  <c r="O30" i="1"/>
  <c r="N30" i="1"/>
  <c r="M30" i="1"/>
  <c r="L30" i="1"/>
  <c r="K30" i="1"/>
  <c r="J30" i="1"/>
  <c r="Q30" i="1" s="1"/>
  <c r="O29" i="1"/>
  <c r="N29" i="1"/>
  <c r="M29" i="1"/>
  <c r="L29" i="1"/>
  <c r="K29" i="1"/>
  <c r="J29" i="1"/>
  <c r="Q29" i="1" s="1"/>
  <c r="O28" i="1"/>
  <c r="N28" i="1"/>
  <c r="M28" i="1"/>
  <c r="L28" i="1"/>
  <c r="K28" i="1"/>
  <c r="J28" i="1"/>
  <c r="Q28" i="1" s="1"/>
  <c r="O27" i="1"/>
  <c r="N27" i="1"/>
  <c r="M27" i="1"/>
  <c r="L27" i="1"/>
  <c r="K27" i="1"/>
  <c r="J27" i="1"/>
  <c r="Q27" i="1" s="1"/>
  <c r="O26" i="1"/>
  <c r="N26" i="1"/>
  <c r="M26" i="1"/>
  <c r="L26" i="1"/>
  <c r="K26" i="1"/>
  <c r="J26" i="1"/>
  <c r="Q26" i="1" s="1"/>
  <c r="O25" i="1"/>
  <c r="N25" i="1"/>
  <c r="M25" i="1"/>
  <c r="L25" i="1"/>
  <c r="K25" i="1"/>
  <c r="J25" i="1"/>
  <c r="Q25" i="1" s="1"/>
  <c r="O24" i="1"/>
  <c r="N24" i="1"/>
  <c r="M24" i="1"/>
  <c r="L24" i="1"/>
  <c r="K24" i="1"/>
  <c r="J24" i="1"/>
  <c r="Q24" i="1" s="1"/>
  <c r="O23" i="1"/>
  <c r="N23" i="1"/>
  <c r="M23" i="1"/>
  <c r="L23" i="1"/>
  <c r="K23" i="1"/>
  <c r="J23" i="1"/>
  <c r="Q23" i="1" s="1"/>
  <c r="O22" i="1"/>
  <c r="N22" i="1"/>
  <c r="M22" i="1"/>
  <c r="L22" i="1"/>
  <c r="K22" i="1"/>
  <c r="J22" i="1"/>
  <c r="Q22" i="1" s="1"/>
  <c r="O21" i="1"/>
  <c r="N21" i="1"/>
  <c r="M21" i="1"/>
  <c r="L21" i="1"/>
  <c r="K21" i="1"/>
  <c r="J21" i="1"/>
  <c r="Q21" i="1" s="1"/>
  <c r="O20" i="1"/>
  <c r="N20" i="1"/>
  <c r="M20" i="1"/>
  <c r="L20" i="1"/>
  <c r="K20" i="1"/>
  <c r="J20" i="1"/>
  <c r="Q20" i="1" s="1"/>
  <c r="O19" i="1"/>
  <c r="N19" i="1"/>
  <c r="M19" i="1"/>
  <c r="L19" i="1"/>
  <c r="K19" i="1"/>
  <c r="J19" i="1"/>
  <c r="Q19" i="1" s="1"/>
  <c r="O18" i="1"/>
  <c r="N18" i="1"/>
  <c r="M18" i="1"/>
  <c r="L18" i="1"/>
  <c r="K18" i="1"/>
  <c r="J18" i="1"/>
  <c r="Q18" i="1" s="1"/>
  <c r="O17" i="1"/>
  <c r="N17" i="1"/>
  <c r="M17" i="1"/>
  <c r="L17" i="1"/>
  <c r="K17" i="1"/>
  <c r="J17" i="1"/>
  <c r="Q17" i="1" s="1"/>
  <c r="O16" i="1"/>
  <c r="N16" i="1"/>
  <c r="M16" i="1"/>
  <c r="L16" i="1"/>
  <c r="K16" i="1"/>
  <c r="J16" i="1"/>
  <c r="Q16" i="1" s="1"/>
  <c r="O15" i="1"/>
  <c r="N15" i="1"/>
  <c r="M15" i="1"/>
  <c r="L15" i="1"/>
  <c r="K15" i="1"/>
  <c r="J15" i="1"/>
  <c r="Q15" i="1" s="1"/>
  <c r="O14" i="1"/>
  <c r="N14" i="1"/>
  <c r="M14" i="1"/>
  <c r="L14" i="1"/>
  <c r="K14" i="1"/>
  <c r="J14" i="1"/>
  <c r="Q14" i="1" s="1"/>
  <c r="O13" i="1"/>
  <c r="N13" i="1"/>
  <c r="M13" i="1"/>
  <c r="L13" i="1"/>
  <c r="K13" i="1"/>
  <c r="J13" i="1"/>
  <c r="Q13" i="1" s="1"/>
  <c r="O12" i="1"/>
  <c r="N12" i="1"/>
  <c r="M12" i="1"/>
  <c r="L12" i="1"/>
  <c r="K12" i="1"/>
  <c r="J12" i="1"/>
  <c r="Q12" i="1" s="1"/>
  <c r="O11" i="1"/>
  <c r="N11" i="1"/>
  <c r="M11" i="1"/>
  <c r="L11" i="1"/>
  <c r="K11" i="1"/>
  <c r="J11" i="1"/>
  <c r="Q11" i="1" s="1"/>
  <c r="O10" i="1"/>
  <c r="N10" i="1"/>
  <c r="M10" i="1"/>
  <c r="L10" i="1"/>
  <c r="K10" i="1"/>
  <c r="J10" i="1"/>
  <c r="Q10" i="1" s="1"/>
  <c r="O9" i="1"/>
  <c r="N9" i="1"/>
  <c r="M9" i="1"/>
  <c r="L9" i="1"/>
  <c r="K9" i="1"/>
  <c r="J9" i="1"/>
  <c r="Q9" i="1" s="1"/>
  <c r="O8" i="1"/>
  <c r="N8" i="1"/>
  <c r="M8" i="1"/>
  <c r="L8" i="1"/>
  <c r="K8" i="1"/>
  <c r="J8" i="1"/>
  <c r="Q8" i="1" s="1"/>
  <c r="O7" i="1"/>
  <c r="N7" i="1"/>
  <c r="M7" i="1"/>
  <c r="L7" i="1"/>
  <c r="K7" i="1"/>
  <c r="J7" i="1"/>
  <c r="Q7" i="1" s="1"/>
  <c r="O6" i="1"/>
  <c r="N6" i="1"/>
  <c r="M6" i="1"/>
  <c r="L6" i="1"/>
  <c r="K6" i="1"/>
  <c r="J6" i="1"/>
  <c r="Q6" i="1" s="1"/>
  <c r="O5" i="1"/>
  <c r="N5" i="1"/>
  <c r="M5" i="1"/>
  <c r="L5" i="1"/>
  <c r="K5" i="1"/>
  <c r="J5" i="1"/>
  <c r="Q5" i="1" s="1"/>
  <c r="J4" i="1"/>
  <c r="Q4" i="1" s="1"/>
  <c r="O3" i="1"/>
  <c r="AN3" i="1" s="1"/>
  <c r="N3" i="1"/>
  <c r="AM3" i="1" s="1"/>
  <c r="M3" i="1"/>
  <c r="AL3" i="1" s="1"/>
  <c r="L3" i="1"/>
  <c r="AK3" i="1" s="1"/>
  <c r="K3" i="1"/>
  <c r="AJ3" i="1" s="1"/>
  <c r="U12" i="3"/>
  <c r="U19" i="3"/>
  <c r="U17" i="3"/>
  <c r="U11" i="3"/>
  <c r="U21" i="3"/>
  <c r="U7" i="3"/>
  <c r="U5" i="3"/>
  <c r="U26" i="3"/>
  <c r="U23" i="3"/>
  <c r="U10" i="3"/>
  <c r="U13" i="3"/>
  <c r="U20" i="3"/>
  <c r="U16" i="3"/>
  <c r="U24" i="3"/>
  <c r="U14" i="3"/>
  <c r="U9" i="3"/>
  <c r="U8" i="3"/>
  <c r="U15" i="3"/>
  <c r="T4" i="3"/>
  <c r="U22" i="3"/>
  <c r="U6" i="3"/>
  <c r="U4" i="3"/>
  <c r="U25" i="3"/>
  <c r="U18" i="3"/>
  <c r="U27" i="3"/>
  <c r="X4" i="3" l="1"/>
  <c r="X5" i="3" s="1"/>
  <c r="X6" i="3" s="1"/>
  <c r="X7" i="3" s="1"/>
  <c r="X8" i="3" s="1"/>
  <c r="X9" i="3" s="1"/>
  <c r="X10" i="3" s="1"/>
  <c r="X11" i="3" s="1"/>
  <c r="X12" i="3" s="1"/>
  <c r="X13" i="3" s="1"/>
  <c r="X14" i="3" s="1"/>
  <c r="X15" i="3" s="1"/>
  <c r="X16" i="3" s="1"/>
  <c r="X17" i="3" s="1"/>
  <c r="X18" i="3" s="1"/>
  <c r="X19" i="3" s="1"/>
  <c r="X20" i="3" s="1"/>
  <c r="X21" i="3" s="1"/>
  <c r="X22" i="3" s="1"/>
  <c r="X23" i="3" s="1"/>
  <c r="X24" i="3" s="1"/>
  <c r="X25" i="3" s="1"/>
  <c r="X26" i="3" s="1"/>
  <c r="X27" i="3" s="1"/>
  <c r="M4" i="3"/>
  <c r="M5" i="3" s="1"/>
  <c r="M6" i="3" s="1"/>
  <c r="M7" i="3" s="1"/>
  <c r="M8" i="3" s="1"/>
  <c r="M9" i="3" s="1"/>
  <c r="M10" i="3" s="1"/>
  <c r="M11" i="3" s="1"/>
  <c r="M12" i="3" s="1"/>
  <c r="M13" i="3" s="1"/>
  <c r="M14" i="3" s="1"/>
  <c r="M15" i="3" s="1"/>
  <c r="M16" i="3" s="1"/>
  <c r="M17" i="3" s="1"/>
  <c r="M18" i="3" s="1"/>
  <c r="M19" i="3" s="1"/>
  <c r="M20" i="3" s="1"/>
  <c r="M21" i="3" s="1"/>
  <c r="M22" i="3" s="1"/>
  <c r="M23" i="3" s="1"/>
  <c r="M24" i="3" s="1"/>
  <c r="M25" i="3" s="1"/>
  <c r="M26" i="3" s="1"/>
  <c r="M27" i="3" s="1"/>
  <c r="M28" i="3" s="1"/>
  <c r="M29" i="3" s="1"/>
  <c r="M30" i="3" s="1"/>
  <c r="M31" i="3" s="1"/>
  <c r="M32" i="3" s="1"/>
  <c r="M33" i="3" s="1"/>
  <c r="M34" i="3" s="1"/>
  <c r="M35" i="3" s="1"/>
  <c r="M36" i="3" s="1"/>
  <c r="M37" i="3" s="1"/>
  <c r="M38" i="3" s="1"/>
  <c r="M39" i="3" s="1"/>
  <c r="M40" i="3" s="1"/>
  <c r="M41" i="3" s="1"/>
  <c r="M42" i="3" s="1"/>
  <c r="M43" i="3" s="1"/>
  <c r="M44" i="3" s="1"/>
  <c r="M45" i="3" s="1"/>
  <c r="M46" i="3" s="1"/>
  <c r="M47" i="3" s="1"/>
  <c r="M48" i="3" s="1"/>
  <c r="M49" i="3" s="1"/>
  <c r="M50" i="3" s="1"/>
  <c r="M51" i="3" s="1"/>
  <c r="M52" i="3" s="1"/>
  <c r="M53" i="3" s="1"/>
  <c r="M54" i="3" s="1"/>
  <c r="M55" i="3" s="1"/>
  <c r="M56" i="3" s="1"/>
  <c r="M57" i="3" s="1"/>
  <c r="M58" i="3" s="1"/>
  <c r="M59" i="3" s="1"/>
  <c r="M60" i="3" s="1"/>
  <c r="M61" i="3" s="1"/>
  <c r="M62" i="3" s="1"/>
  <c r="M63" i="3" s="1"/>
  <c r="M64" i="3" s="1"/>
  <c r="M65" i="3" s="1"/>
  <c r="M66" i="3" s="1"/>
  <c r="M67" i="3" s="1"/>
  <c r="M68" i="3" s="1"/>
  <c r="M69" i="3" s="1"/>
  <c r="M70" i="3" s="1"/>
  <c r="M71" i="3" s="1"/>
  <c r="M72" i="3" s="1"/>
  <c r="M73" i="3" s="1"/>
  <c r="M74" i="3" s="1"/>
  <c r="M75" i="3" s="1"/>
  <c r="M76" i="3" s="1"/>
  <c r="M77" i="3" s="1"/>
  <c r="M78" i="3" s="1"/>
  <c r="M79" i="3" s="1"/>
  <c r="M80" i="3" s="1"/>
  <c r="M81" i="3" s="1"/>
  <c r="M82" i="3" s="1"/>
  <c r="M83" i="3" s="1"/>
  <c r="M84" i="3" s="1"/>
  <c r="M85" i="3" s="1"/>
  <c r="M86" i="3" s="1"/>
  <c r="M87" i="3" s="1"/>
  <c r="M88" i="3" s="1"/>
  <c r="M89" i="3" s="1"/>
  <c r="M90" i="3" s="1"/>
  <c r="M91" i="3" s="1"/>
  <c r="M92" i="3" s="1"/>
  <c r="M93" i="3" s="1"/>
  <c r="M94" i="3" s="1"/>
  <c r="M95" i="3" s="1"/>
  <c r="M96" i="3" s="1"/>
  <c r="M97" i="3" s="1"/>
  <c r="M98" i="3" s="1"/>
  <c r="M99" i="3" s="1"/>
  <c r="M100" i="3" s="1"/>
  <c r="M101" i="3" s="1"/>
  <c r="M102" i="3" s="1"/>
  <c r="M103" i="3" s="1"/>
  <c r="M104" i="3" s="1"/>
  <c r="M105" i="3" s="1"/>
  <c r="M106" i="3" s="1"/>
  <c r="M107" i="3" s="1"/>
  <c r="M108" i="3" s="1"/>
  <c r="M109" i="3" s="1"/>
  <c r="M110" i="3" s="1"/>
  <c r="M111" i="3" s="1"/>
  <c r="M112" i="3" s="1"/>
  <c r="M113" i="3" s="1"/>
  <c r="M114" i="3" s="1"/>
  <c r="M115" i="3" s="1"/>
  <c r="M116" i="3" s="1"/>
  <c r="M117" i="3" s="1"/>
  <c r="M118" i="3" s="1"/>
  <c r="M119" i="3" s="1"/>
  <c r="M120" i="3" s="1"/>
  <c r="M121" i="3" s="1"/>
  <c r="M122" i="3" s="1"/>
  <c r="M123" i="3" s="1"/>
  <c r="M124" i="3" s="1"/>
  <c r="M125" i="3" s="1"/>
  <c r="M126" i="3" s="1"/>
  <c r="M127" i="3" s="1"/>
  <c r="M128" i="3" s="1"/>
  <c r="M129" i="3" s="1"/>
  <c r="M130" i="3" s="1"/>
  <c r="M131" i="3" s="1"/>
  <c r="M132" i="3" s="1"/>
  <c r="M133" i="3" s="1"/>
  <c r="M134" i="3" s="1"/>
  <c r="M135" i="3" s="1"/>
  <c r="M136" i="3" s="1"/>
  <c r="M137" i="3" s="1"/>
  <c r="M138" i="3" s="1"/>
  <c r="M139" i="3" s="1"/>
  <c r="M140" i="3" s="1"/>
  <c r="M141" i="3" s="1"/>
  <c r="M142" i="3" s="1"/>
  <c r="M143" i="3" s="1"/>
  <c r="M144" i="3" s="1"/>
  <c r="M145" i="3" s="1"/>
  <c r="M146" i="3" s="1"/>
  <c r="AB33" i="1"/>
  <c r="S18" i="1"/>
  <c r="S10" i="1"/>
  <c r="S14" i="1"/>
  <c r="S22" i="1"/>
  <c r="S30" i="1"/>
  <c r="S38" i="1"/>
  <c r="S46" i="1"/>
  <c r="S50" i="1"/>
  <c r="S54" i="1"/>
  <c r="S62" i="1"/>
  <c r="S66" i="1"/>
  <c r="S74" i="1"/>
  <c r="S82" i="1"/>
  <c r="S86" i="1"/>
  <c r="S6" i="1"/>
  <c r="S26" i="1"/>
  <c r="S34" i="1"/>
  <c r="S42" i="1"/>
  <c r="S58" i="1"/>
  <c r="S70" i="1"/>
  <c r="S78" i="1"/>
  <c r="S90" i="1"/>
  <c r="S94" i="1"/>
  <c r="S114" i="1"/>
  <c r="Y143" i="1"/>
  <c r="Y14" i="1"/>
  <c r="T34" i="1"/>
  <c r="T50" i="1"/>
  <c r="Y62" i="1"/>
  <c r="U90" i="1"/>
  <c r="Y106" i="1"/>
  <c r="X118" i="1"/>
  <c r="R138" i="1"/>
  <c r="AA58" i="1"/>
  <c r="X134" i="1"/>
  <c r="AA25" i="1"/>
  <c r="W25" i="1"/>
  <c r="S117" i="1"/>
  <c r="AC127" i="1"/>
  <c r="T131" i="1"/>
  <c r="T139" i="1"/>
  <c r="T21" i="1"/>
  <c r="AB131" i="1"/>
  <c r="AA135" i="1"/>
  <c r="AB139" i="1"/>
  <c r="X112" i="1"/>
  <c r="Z11" i="1"/>
  <c r="W112" i="1"/>
  <c r="Y77" i="1"/>
  <c r="U73" i="1"/>
  <c r="W38" i="1"/>
  <c r="Z10" i="1"/>
  <c r="X82" i="1"/>
  <c r="T27" i="1"/>
  <c r="AC25" i="1"/>
  <c r="R115" i="1"/>
  <c r="R37" i="1"/>
  <c r="S17" i="1"/>
  <c r="S69" i="1"/>
  <c r="S85" i="1"/>
  <c r="S89" i="1"/>
  <c r="S93" i="1"/>
  <c r="S101" i="1"/>
  <c r="S113" i="1"/>
  <c r="R125" i="1"/>
  <c r="R129" i="1"/>
  <c r="R4" i="1"/>
  <c r="Y69" i="1"/>
  <c r="W5" i="1"/>
  <c r="Z17" i="1"/>
  <c r="V21" i="1"/>
  <c r="T25" i="1"/>
  <c r="Z33" i="1"/>
  <c r="T37" i="1"/>
  <c r="T45" i="1"/>
  <c r="T49" i="1"/>
  <c r="T53" i="1"/>
  <c r="T57" i="1"/>
  <c r="T61" i="1"/>
  <c r="V65" i="1"/>
  <c r="T69" i="1"/>
  <c r="T73" i="1"/>
  <c r="T77" i="1"/>
  <c r="U81" i="1"/>
  <c r="U85" i="1"/>
  <c r="T89" i="1"/>
  <c r="X93" i="1"/>
  <c r="T97" i="1"/>
  <c r="T101" i="1"/>
  <c r="U109" i="1"/>
  <c r="S125" i="1"/>
  <c r="S129" i="1"/>
  <c r="R133" i="1"/>
  <c r="R137" i="1"/>
  <c r="R141" i="1"/>
  <c r="R145" i="1"/>
  <c r="S4" i="1"/>
  <c r="X69" i="1"/>
  <c r="S106" i="1"/>
  <c r="Y54" i="1"/>
  <c r="S122" i="1"/>
  <c r="R142" i="1"/>
  <c r="AA62" i="1"/>
  <c r="R26" i="1"/>
  <c r="AB25" i="1"/>
  <c r="V25" i="1"/>
  <c r="S98" i="1"/>
  <c r="S118" i="1"/>
  <c r="W6" i="1"/>
  <c r="T26" i="1"/>
  <c r="W46" i="1"/>
  <c r="Y58" i="1"/>
  <c r="Y110" i="1"/>
  <c r="S126" i="1"/>
  <c r="R134" i="1"/>
  <c r="S135" i="1"/>
  <c r="AA10" i="1"/>
  <c r="AC132" i="1"/>
  <c r="R132" i="1"/>
  <c r="X116" i="1"/>
  <c r="U147" i="1"/>
  <c r="Y132" i="1"/>
  <c r="AB136" i="1"/>
  <c r="R9" i="1"/>
  <c r="R21" i="1"/>
  <c r="R29" i="1"/>
  <c r="R41" i="1"/>
  <c r="R49" i="1"/>
  <c r="R57" i="1"/>
  <c r="R61" i="1"/>
  <c r="R69" i="1"/>
  <c r="R81" i="1"/>
  <c r="R89" i="1"/>
  <c r="R93" i="1"/>
  <c r="R101" i="1"/>
  <c r="R105" i="1"/>
  <c r="R109" i="1"/>
  <c r="R117" i="1"/>
  <c r="R121" i="1"/>
  <c r="S5" i="1"/>
  <c r="S13" i="1"/>
  <c r="S21" i="1"/>
  <c r="S29" i="1"/>
  <c r="S33" i="1"/>
  <c r="S41" i="1"/>
  <c r="S49" i="1"/>
  <c r="S97" i="1"/>
  <c r="AC5" i="1"/>
  <c r="AB21" i="1"/>
  <c r="AA33" i="1"/>
  <c r="AC45" i="1"/>
  <c r="AA53" i="1"/>
  <c r="AA61" i="1"/>
  <c r="AC69" i="1"/>
  <c r="AA77" i="1"/>
  <c r="AB85" i="1"/>
  <c r="AA97" i="1"/>
  <c r="AA105" i="1"/>
  <c r="AA109" i="1"/>
  <c r="S133" i="1"/>
  <c r="S137" i="1"/>
  <c r="S145" i="1"/>
  <c r="T4" i="1"/>
  <c r="U4" i="1"/>
  <c r="R62" i="1"/>
  <c r="AC137" i="1"/>
  <c r="V4" i="1"/>
  <c r="AC61" i="1"/>
  <c r="S102" i="1"/>
  <c r="S110" i="1"/>
  <c r="S31" i="1"/>
  <c r="X22" i="1"/>
  <c r="U42" i="1"/>
  <c r="W70" i="1"/>
  <c r="T94" i="1"/>
  <c r="T114" i="1"/>
  <c r="R130" i="1"/>
  <c r="R146" i="1"/>
  <c r="AA14" i="1"/>
  <c r="AA54" i="1"/>
  <c r="AA132" i="1"/>
  <c r="S121" i="1"/>
  <c r="U25" i="1"/>
  <c r="T143" i="1"/>
  <c r="R73" i="1"/>
  <c r="AB128" i="1"/>
  <c r="Y136" i="1"/>
  <c r="AB69" i="1"/>
  <c r="AB132" i="1"/>
  <c r="AA69" i="1"/>
  <c r="R5" i="1"/>
  <c r="R13" i="1"/>
  <c r="R17" i="1"/>
  <c r="R25" i="1"/>
  <c r="R33" i="1"/>
  <c r="R45" i="1"/>
  <c r="R53" i="1"/>
  <c r="R65" i="1"/>
  <c r="R77" i="1"/>
  <c r="R85" i="1"/>
  <c r="R97" i="1"/>
  <c r="R113" i="1"/>
  <c r="Z69" i="1"/>
  <c r="S9" i="1"/>
  <c r="S25" i="1"/>
  <c r="S37" i="1"/>
  <c r="S53" i="1"/>
  <c r="S57" i="1"/>
  <c r="S65" i="1"/>
  <c r="S73" i="1"/>
  <c r="S81" i="1"/>
  <c r="S109" i="1"/>
  <c r="AA17" i="1"/>
  <c r="AC41" i="1"/>
  <c r="AA49" i="1"/>
  <c r="AA57" i="1"/>
  <c r="AA65" i="1"/>
  <c r="AA73" i="1"/>
  <c r="AA93" i="1"/>
  <c r="AA101" i="1"/>
  <c r="AA121" i="1"/>
  <c r="S141" i="1"/>
  <c r="V69" i="1"/>
  <c r="R6" i="1"/>
  <c r="R10" i="1"/>
  <c r="R14" i="1"/>
  <c r="R18" i="1"/>
  <c r="R22" i="1"/>
  <c r="R30" i="1"/>
  <c r="R34" i="1"/>
  <c r="R38" i="1"/>
  <c r="R42" i="1"/>
  <c r="R46" i="1"/>
  <c r="R50" i="1"/>
  <c r="R54" i="1"/>
  <c r="R58" i="1"/>
  <c r="R66" i="1"/>
  <c r="R70" i="1"/>
  <c r="R74" i="1"/>
  <c r="R78" i="1"/>
  <c r="R82" i="1"/>
  <c r="R86" i="1"/>
  <c r="R90" i="1"/>
  <c r="R94" i="1"/>
  <c r="R98" i="1"/>
  <c r="R102" i="1"/>
  <c r="R106" i="1"/>
  <c r="R110" i="1"/>
  <c r="R114" i="1"/>
  <c r="R118" i="1"/>
  <c r="W4" i="1"/>
  <c r="Y45" i="1"/>
  <c r="R122" i="1"/>
  <c r="R126" i="1"/>
  <c r="X4" i="1"/>
  <c r="Z45" i="1"/>
  <c r="Y4" i="1"/>
  <c r="V61" i="1"/>
  <c r="AA110" i="1"/>
  <c r="T126" i="1"/>
  <c r="S134" i="1"/>
  <c r="S138" i="1"/>
  <c r="Y109" i="1"/>
  <c r="S61" i="1"/>
  <c r="X53" i="1"/>
  <c r="R19" i="1"/>
  <c r="R103" i="1"/>
  <c r="AB49" i="1"/>
  <c r="AA106" i="1"/>
  <c r="W122" i="1"/>
  <c r="S130" i="1"/>
  <c r="S142" i="1"/>
  <c r="Z4" i="1"/>
  <c r="S11" i="1"/>
  <c r="U134" i="1"/>
  <c r="W138" i="1"/>
  <c r="AA4" i="1"/>
  <c r="S105" i="1"/>
  <c r="AB4" i="1"/>
  <c r="U101" i="1"/>
  <c r="V53" i="1"/>
  <c r="R7" i="1"/>
  <c r="R11" i="1"/>
  <c r="R15" i="1"/>
  <c r="R23" i="1"/>
  <c r="R27" i="1"/>
  <c r="R31" i="1"/>
  <c r="R35" i="1"/>
  <c r="R39" i="1"/>
  <c r="R43" i="1"/>
  <c r="R47" i="1"/>
  <c r="R51" i="1"/>
  <c r="R55" i="1"/>
  <c r="R59" i="1"/>
  <c r="R63" i="1"/>
  <c r="R67" i="1"/>
  <c r="R71" i="1"/>
  <c r="R75" i="1"/>
  <c r="R79" i="1"/>
  <c r="R83" i="1"/>
  <c r="R87" i="1"/>
  <c r="R91" i="1"/>
  <c r="R99" i="1"/>
  <c r="R107" i="1"/>
  <c r="R111" i="1"/>
  <c r="R119" i="1"/>
  <c r="AC4" i="1"/>
  <c r="R95" i="1"/>
  <c r="S7" i="1"/>
  <c r="S15" i="1"/>
  <c r="S19" i="1"/>
  <c r="S23" i="1"/>
  <c r="S27" i="1"/>
  <c r="S35" i="1"/>
  <c r="S39" i="1"/>
  <c r="S43" i="1"/>
  <c r="S47" i="1"/>
  <c r="S51" i="1"/>
  <c r="S55" i="1"/>
  <c r="S59" i="1"/>
  <c r="S63" i="1"/>
  <c r="S67" i="1"/>
  <c r="S71" i="1"/>
  <c r="S75" i="1"/>
  <c r="S79" i="1"/>
  <c r="S83" i="1"/>
  <c r="S87" i="1"/>
  <c r="S91" i="1"/>
  <c r="S95" i="1"/>
  <c r="S99" i="1"/>
  <c r="S103" i="1"/>
  <c r="S107" i="1"/>
  <c r="S111" i="1"/>
  <c r="S115" i="1"/>
  <c r="S119" i="1"/>
  <c r="R123" i="1"/>
  <c r="R127" i="1"/>
  <c r="AC147" i="1"/>
  <c r="V84" i="1"/>
  <c r="W49" i="1"/>
  <c r="T11" i="1"/>
  <c r="T19" i="1"/>
  <c r="Z23" i="1"/>
  <c r="V27" i="1"/>
  <c r="T31" i="1"/>
  <c r="T35" i="1"/>
  <c r="Y39" i="1"/>
  <c r="T51" i="1"/>
  <c r="X55" i="1"/>
  <c r="Z59" i="1"/>
  <c r="Z63" i="1"/>
  <c r="T67" i="1"/>
  <c r="U71" i="1"/>
  <c r="U75" i="1"/>
  <c r="Y83" i="1"/>
  <c r="T91" i="1"/>
  <c r="V95" i="1"/>
  <c r="V99" i="1"/>
  <c r="X111" i="1"/>
  <c r="V115" i="1"/>
  <c r="W119" i="1"/>
  <c r="S123" i="1"/>
  <c r="S127" i="1"/>
  <c r="R131" i="1"/>
  <c r="R135" i="1"/>
  <c r="R139" i="1"/>
  <c r="R143" i="1"/>
  <c r="R147" i="1"/>
  <c r="S146" i="1"/>
  <c r="U84" i="1"/>
  <c r="V49" i="1"/>
  <c r="T7" i="1"/>
  <c r="AC7" i="1"/>
  <c r="AC11" i="1"/>
  <c r="AA19" i="1"/>
  <c r="AA23" i="1"/>
  <c r="AA27" i="1"/>
  <c r="AA35" i="1"/>
  <c r="AB39" i="1"/>
  <c r="AA43" i="1"/>
  <c r="AC63" i="1"/>
  <c r="AA79" i="1"/>
  <c r="AA83" i="1"/>
  <c r="AC99" i="1"/>
  <c r="AA107" i="1"/>
  <c r="AB111" i="1"/>
  <c r="AA119" i="1"/>
  <c r="T127" i="1"/>
  <c r="S131" i="1"/>
  <c r="S139" i="1"/>
  <c r="S143" i="1"/>
  <c r="S147" i="1"/>
  <c r="Z143" i="1"/>
  <c r="Z77" i="1"/>
  <c r="U49" i="1"/>
  <c r="R24" i="1"/>
  <c r="R36" i="1"/>
  <c r="R40" i="1"/>
  <c r="R44" i="1"/>
  <c r="R48" i="1"/>
  <c r="R52" i="1"/>
  <c r="R56" i="1"/>
  <c r="R60" i="1"/>
  <c r="R64" i="1"/>
  <c r="R68" i="1"/>
  <c r="R72" i="1"/>
  <c r="R76" i="1"/>
  <c r="R80" i="1"/>
  <c r="R84" i="1"/>
  <c r="R88" i="1"/>
  <c r="R92" i="1"/>
  <c r="R96" i="1"/>
  <c r="R100" i="1"/>
  <c r="R104" i="1"/>
  <c r="R108" i="1"/>
  <c r="R112" i="1"/>
  <c r="R116" i="1"/>
  <c r="R120" i="1"/>
  <c r="X139" i="1"/>
  <c r="W77" i="1"/>
  <c r="V45" i="1"/>
  <c r="AB143" i="1"/>
  <c r="AA147" i="1"/>
  <c r="X143" i="1"/>
  <c r="X77" i="1"/>
  <c r="R8" i="1"/>
  <c r="R12" i="1"/>
  <c r="R16" i="1"/>
  <c r="R20" i="1"/>
  <c r="R28" i="1"/>
  <c r="R32" i="1"/>
  <c r="S8" i="1"/>
  <c r="S12" i="1"/>
  <c r="S16" i="1"/>
  <c r="S20" i="1"/>
  <c r="S24" i="1"/>
  <c r="S28" i="1"/>
  <c r="S32" i="1"/>
  <c r="S36" i="1"/>
  <c r="S40" i="1"/>
  <c r="S44" i="1"/>
  <c r="S48" i="1"/>
  <c r="S52" i="1"/>
  <c r="S56" i="1"/>
  <c r="S60" i="1"/>
  <c r="S64" i="1"/>
  <c r="S68" i="1"/>
  <c r="S72" i="1"/>
  <c r="S76" i="1"/>
  <c r="S80" i="1"/>
  <c r="S84" i="1"/>
  <c r="S88" i="1"/>
  <c r="S92" i="1"/>
  <c r="S96" i="1"/>
  <c r="S100" i="1"/>
  <c r="S104" i="1"/>
  <c r="S108" i="1"/>
  <c r="S112" i="1"/>
  <c r="S116" i="1"/>
  <c r="S120" i="1"/>
  <c r="R124" i="1"/>
  <c r="R128" i="1"/>
  <c r="W139" i="1"/>
  <c r="V77" i="1"/>
  <c r="U45" i="1"/>
  <c r="W8" i="1"/>
  <c r="W12" i="1"/>
  <c r="T16" i="1"/>
  <c r="T24" i="1"/>
  <c r="T36" i="1"/>
  <c r="T48" i="1"/>
  <c r="X56" i="1"/>
  <c r="T64" i="1"/>
  <c r="T72" i="1"/>
  <c r="W76" i="1"/>
  <c r="Y80" i="1"/>
  <c r="Y84" i="1"/>
  <c r="T88" i="1"/>
  <c r="T96" i="1"/>
  <c r="X104" i="1"/>
  <c r="T112" i="1"/>
  <c r="V116" i="1"/>
  <c r="T120" i="1"/>
  <c r="S124" i="1"/>
  <c r="S128" i="1"/>
  <c r="R140" i="1"/>
  <c r="R144" i="1"/>
  <c r="R148" i="1"/>
  <c r="AA136" i="1"/>
  <c r="U77" i="1"/>
  <c r="S45" i="1"/>
  <c r="AA32" i="1"/>
  <c r="AA36" i="1"/>
  <c r="AA76" i="1"/>
  <c r="AA80" i="1"/>
  <c r="AA84" i="1"/>
  <c r="T124" i="1"/>
  <c r="Y128" i="1"/>
  <c r="S132" i="1"/>
  <c r="S136" i="1"/>
  <c r="S140" i="1"/>
  <c r="S144" i="1"/>
  <c r="S148" i="1"/>
  <c r="R136" i="1"/>
  <c r="S77" i="1"/>
  <c r="AC111" i="1"/>
  <c r="AA143" i="1"/>
  <c r="AA111" i="1"/>
  <c r="AB11" i="1"/>
  <c r="Z39" i="1"/>
  <c r="W143" i="1"/>
  <c r="W131" i="1"/>
  <c r="AB99" i="1"/>
  <c r="V59" i="1"/>
  <c r="X39" i="1"/>
  <c r="AA11" i="1"/>
  <c r="V143" i="1"/>
  <c r="T128" i="1"/>
  <c r="AA99" i="1"/>
  <c r="U59" i="1"/>
  <c r="AB127" i="1"/>
  <c r="X59" i="1"/>
  <c r="U143" i="1"/>
  <c r="T59" i="1"/>
  <c r="U95" i="1"/>
  <c r="U36" i="1"/>
  <c r="AA39" i="1"/>
  <c r="V36" i="1"/>
  <c r="AC53" i="1"/>
  <c r="W59" i="1"/>
  <c r="X72" i="1"/>
  <c r="U124" i="1"/>
  <c r="T95" i="1"/>
  <c r="W72" i="1"/>
  <c r="AB53" i="1"/>
  <c r="U72" i="1"/>
  <c r="Y53" i="1"/>
  <c r="Y59" i="1"/>
  <c r="X131" i="1"/>
  <c r="Z99" i="1"/>
  <c r="AC139" i="1"/>
  <c r="V122" i="1"/>
  <c r="AC35" i="1"/>
  <c r="Z139" i="1"/>
  <c r="U88" i="1"/>
  <c r="Y139" i="1"/>
  <c r="Y119" i="1"/>
  <c r="AC49" i="1"/>
  <c r="U139" i="1"/>
  <c r="T119" i="1"/>
  <c r="T136" i="1"/>
  <c r="W114" i="1"/>
  <c r="AB83" i="1"/>
  <c r="U65" i="1"/>
  <c r="X45" i="1"/>
  <c r="Y25" i="1"/>
  <c r="V139" i="1"/>
  <c r="T84" i="1"/>
  <c r="W136" i="1"/>
  <c r="X114" i="1"/>
  <c r="AC83" i="1"/>
  <c r="Z25" i="1"/>
  <c r="V114" i="1"/>
  <c r="W45" i="1"/>
  <c r="X25" i="1"/>
  <c r="X10" i="1"/>
  <c r="W10" i="1"/>
  <c r="V134" i="1"/>
  <c r="U10" i="1"/>
  <c r="T134" i="1"/>
  <c r="W48" i="1"/>
  <c r="U7" i="1"/>
  <c r="AC121" i="1"/>
  <c r="T80" i="1"/>
  <c r="U48" i="1"/>
  <c r="AB121" i="1"/>
  <c r="AC79" i="1"/>
  <c r="X58" i="1"/>
  <c r="X132" i="1"/>
  <c r="W58" i="1"/>
  <c r="X34" i="1"/>
  <c r="Y23" i="1"/>
  <c r="T122" i="1"/>
  <c r="AB93" i="1"/>
  <c r="AB35" i="1"/>
  <c r="W35" i="1"/>
  <c r="U132" i="1"/>
  <c r="V58" i="1"/>
  <c r="W34" i="1"/>
  <c r="T22" i="1"/>
  <c r="AB147" i="1"/>
  <c r="AA139" i="1"/>
  <c r="T132" i="1"/>
  <c r="W106" i="1"/>
  <c r="X88" i="1"/>
  <c r="W54" i="1"/>
  <c r="U34" i="1"/>
  <c r="AA21" i="1"/>
  <c r="Z119" i="1"/>
  <c r="V106" i="1"/>
  <c r="W88" i="1"/>
  <c r="X64" i="1"/>
  <c r="V54" i="1"/>
  <c r="U21" i="1"/>
  <c r="Y147" i="1"/>
  <c r="Z131" i="1"/>
  <c r="T106" i="1"/>
  <c r="U64" i="1"/>
  <c r="T54" i="1"/>
  <c r="Z31" i="1"/>
  <c r="W16" i="1"/>
  <c r="U122" i="1"/>
  <c r="T10" i="1"/>
  <c r="X14" i="1"/>
  <c r="W14" i="1"/>
  <c r="T147" i="1"/>
  <c r="V128" i="1"/>
  <c r="U115" i="1"/>
  <c r="AC84" i="1"/>
  <c r="AC73" i="1"/>
  <c r="V62" i="1"/>
  <c r="AC39" i="1"/>
  <c r="U31" i="1"/>
  <c r="T14" i="1"/>
  <c r="U114" i="1"/>
  <c r="U94" i="1"/>
  <c r="Z147" i="1"/>
  <c r="U106" i="1"/>
  <c r="W64" i="1"/>
  <c r="U54" i="1"/>
  <c r="X147" i="1"/>
  <c r="Y31" i="1"/>
  <c r="W147" i="1"/>
  <c r="T42" i="1"/>
  <c r="X31" i="1"/>
  <c r="V147" i="1"/>
  <c r="U104" i="1"/>
  <c r="X62" i="1"/>
  <c r="W31" i="1"/>
  <c r="W128" i="1"/>
  <c r="T104" i="1"/>
  <c r="W62" i="1"/>
  <c r="V31" i="1"/>
  <c r="U128" i="1"/>
  <c r="T115" i="1"/>
  <c r="W101" i="1"/>
  <c r="W84" i="1"/>
  <c r="AB73" i="1"/>
  <c r="U62" i="1"/>
  <c r="Z53" i="1"/>
  <c r="W9" i="1"/>
  <c r="T9" i="1"/>
  <c r="U9" i="1"/>
  <c r="V9" i="1"/>
  <c r="X17" i="1"/>
  <c r="T144" i="1"/>
  <c r="U144" i="1"/>
  <c r="V144" i="1"/>
  <c r="W144" i="1"/>
  <c r="X144" i="1"/>
  <c r="W17" i="1"/>
  <c r="AB5" i="1"/>
  <c r="T113" i="1"/>
  <c r="U113" i="1"/>
  <c r="V113" i="1"/>
  <c r="W113" i="1"/>
  <c r="X113" i="1"/>
  <c r="Y113" i="1"/>
  <c r="Z113" i="1"/>
  <c r="T117" i="1"/>
  <c r="Y117" i="1"/>
  <c r="U117" i="1"/>
  <c r="V117" i="1"/>
  <c r="W117" i="1"/>
  <c r="X117" i="1"/>
  <c r="Z117" i="1"/>
  <c r="W121" i="1"/>
  <c r="T121" i="1"/>
  <c r="U121" i="1"/>
  <c r="V121" i="1"/>
  <c r="X121" i="1"/>
  <c r="Y121" i="1"/>
  <c r="Z121" i="1"/>
  <c r="T148" i="1"/>
  <c r="U148" i="1"/>
  <c r="V148" i="1"/>
  <c r="W148" i="1"/>
  <c r="X148" i="1"/>
  <c r="V17" i="1"/>
  <c r="AA5" i="1"/>
  <c r="AA113" i="1"/>
  <c r="AB113" i="1"/>
  <c r="AC113" i="1"/>
  <c r="AA117" i="1"/>
  <c r="AB117" i="1"/>
  <c r="X125" i="1"/>
  <c r="W125" i="1"/>
  <c r="T125" i="1"/>
  <c r="U125" i="1"/>
  <c r="V125" i="1"/>
  <c r="T129" i="1"/>
  <c r="U129" i="1"/>
  <c r="Y129" i="1"/>
  <c r="V129" i="1"/>
  <c r="W129" i="1"/>
  <c r="X129" i="1"/>
  <c r="Z129" i="1"/>
  <c r="U17" i="1"/>
  <c r="Z5" i="1"/>
  <c r="AA125" i="1"/>
  <c r="AB125" i="1"/>
  <c r="AA129" i="1"/>
  <c r="AB129" i="1"/>
  <c r="T133" i="1"/>
  <c r="U133" i="1"/>
  <c r="Y133" i="1"/>
  <c r="V133" i="1"/>
  <c r="W133" i="1"/>
  <c r="X133" i="1"/>
  <c r="Z133" i="1"/>
  <c r="AC129" i="1"/>
  <c r="T17" i="1"/>
  <c r="Y5" i="1"/>
  <c r="AA133" i="1"/>
  <c r="AB133" i="1"/>
  <c r="Y137" i="1"/>
  <c r="T137" i="1"/>
  <c r="U137" i="1"/>
  <c r="V137" i="1"/>
  <c r="W137" i="1"/>
  <c r="X137" i="1"/>
  <c r="X5" i="1"/>
  <c r="AA137" i="1"/>
  <c r="AB137" i="1"/>
  <c r="Z141" i="1"/>
  <c r="U141" i="1"/>
  <c r="X141" i="1"/>
  <c r="V118" i="1"/>
  <c r="AC110" i="1"/>
  <c r="Y99" i="1"/>
  <c r="X126" i="1"/>
  <c r="U118" i="1"/>
  <c r="X110" i="1"/>
  <c r="X99" i="1"/>
  <c r="W126" i="1"/>
  <c r="T118" i="1"/>
  <c r="W110" i="1"/>
  <c r="W99" i="1"/>
  <c r="W98" i="1"/>
  <c r="U98" i="1"/>
  <c r="X98" i="1"/>
  <c r="W43" i="1"/>
  <c r="T43" i="1"/>
  <c r="U43" i="1"/>
  <c r="V43" i="1"/>
  <c r="X43" i="1"/>
  <c r="Y43" i="1"/>
  <c r="Z43" i="1"/>
  <c r="U91" i="1"/>
  <c r="V91" i="1"/>
  <c r="W91" i="1"/>
  <c r="X91" i="1"/>
  <c r="Y91" i="1"/>
  <c r="Z91" i="1"/>
  <c r="U103" i="1"/>
  <c r="T103" i="1"/>
  <c r="Y103" i="1"/>
  <c r="Z103" i="1"/>
  <c r="V126" i="1"/>
  <c r="V110" i="1"/>
  <c r="AC43" i="1"/>
  <c r="T5" i="1"/>
  <c r="U5" i="1"/>
  <c r="V5" i="1"/>
  <c r="T13" i="1"/>
  <c r="V13" i="1"/>
  <c r="W13" i="1"/>
  <c r="X13" i="1"/>
  <c r="Y13" i="1"/>
  <c r="Z13" i="1"/>
  <c r="AA13" i="1"/>
  <c r="AB13" i="1"/>
  <c r="AC13" i="1"/>
  <c r="Y17" i="1"/>
  <c r="T86" i="1"/>
  <c r="U86" i="1"/>
  <c r="W118" i="1"/>
  <c r="T47" i="1"/>
  <c r="Y47" i="1"/>
  <c r="U47" i="1"/>
  <c r="V47" i="1"/>
  <c r="W47" i="1"/>
  <c r="X47" i="1"/>
  <c r="Z47" i="1"/>
  <c r="AC47" i="1"/>
  <c r="AA47" i="1"/>
  <c r="AB47" i="1"/>
  <c r="U83" i="1"/>
  <c r="T83" i="1"/>
  <c r="V83" i="1"/>
  <c r="W83" i="1"/>
  <c r="X83" i="1"/>
  <c r="AB55" i="1"/>
  <c r="AA55" i="1"/>
  <c r="AC55" i="1"/>
  <c r="AC67" i="1"/>
  <c r="AA67" i="1"/>
  <c r="AB67" i="1"/>
  <c r="AB75" i="1"/>
  <c r="AC75" i="1"/>
  <c r="V87" i="1"/>
  <c r="Z87" i="1"/>
  <c r="T87" i="1"/>
  <c r="U87" i="1"/>
  <c r="Y87" i="1"/>
  <c r="T99" i="1"/>
  <c r="U99" i="1"/>
  <c r="T107" i="1"/>
  <c r="U107" i="1"/>
  <c r="V107" i="1"/>
  <c r="W107" i="1"/>
  <c r="X107" i="1"/>
  <c r="Y107" i="1"/>
  <c r="Z107" i="1"/>
  <c r="AA87" i="1"/>
  <c r="AB87" i="1"/>
  <c r="AC87" i="1"/>
  <c r="AA91" i="1"/>
  <c r="AB91" i="1"/>
  <c r="AC91" i="1"/>
  <c r="AA95" i="1"/>
  <c r="AB95" i="1"/>
  <c r="AC95" i="1"/>
  <c r="AA103" i="1"/>
  <c r="AB103" i="1"/>
  <c r="AC103" i="1"/>
  <c r="U126" i="1"/>
  <c r="AC117" i="1"/>
  <c r="U110" i="1"/>
  <c r="Z95" i="1"/>
  <c r="AB43" i="1"/>
  <c r="Z21" i="1"/>
  <c r="AC133" i="1"/>
  <c r="T110" i="1"/>
  <c r="Y95" i="1"/>
  <c r="Y21" i="1"/>
  <c r="T20" i="1"/>
  <c r="W20" i="1"/>
  <c r="X20" i="1"/>
  <c r="T28" i="1"/>
  <c r="U28" i="1"/>
  <c r="W28" i="1"/>
  <c r="X28" i="1"/>
  <c r="Y32" i="1"/>
  <c r="T32" i="1"/>
  <c r="U32" i="1"/>
  <c r="V32" i="1"/>
  <c r="W32" i="1"/>
  <c r="X32" i="1"/>
  <c r="Y36" i="1"/>
  <c r="W36" i="1"/>
  <c r="X36" i="1"/>
  <c r="X95" i="1"/>
  <c r="X21" i="1"/>
  <c r="AB9" i="1"/>
  <c r="AA9" i="1"/>
  <c r="T102" i="1"/>
  <c r="U102" i="1"/>
  <c r="X140" i="1"/>
  <c r="T140" i="1"/>
  <c r="U140" i="1"/>
  <c r="V140" i="1"/>
  <c r="AA141" i="1"/>
  <c r="AB141" i="1"/>
  <c r="AC141" i="1"/>
  <c r="AA31" i="1"/>
  <c r="AB31" i="1"/>
  <c r="AC31" i="1"/>
  <c r="W39" i="1"/>
  <c r="T39" i="1"/>
  <c r="U39" i="1"/>
  <c r="V39" i="1"/>
  <c r="X122" i="1"/>
  <c r="W95" i="1"/>
  <c r="W21" i="1"/>
  <c r="X106" i="1"/>
  <c r="T62" i="1"/>
  <c r="U58" i="1"/>
  <c r="V14" i="1"/>
  <c r="Z109" i="1"/>
  <c r="AC93" i="1"/>
  <c r="W69" i="1"/>
  <c r="T58" i="1"/>
  <c r="W53" i="1"/>
  <c r="U14" i="1"/>
  <c r="W109" i="1"/>
  <c r="U69" i="1"/>
  <c r="U53" i="1"/>
  <c r="X38" i="1"/>
  <c r="X23" i="1"/>
  <c r="T109" i="1"/>
  <c r="AB61" i="1"/>
  <c r="AC57" i="1"/>
  <c r="W23" i="1"/>
  <c r="AC19" i="1"/>
  <c r="X96" i="1"/>
  <c r="Z73" i="1"/>
  <c r="X57" i="1"/>
  <c r="X37" i="1"/>
  <c r="AC27" i="1"/>
  <c r="V23" i="1"/>
  <c r="AB19" i="1"/>
  <c r="Z7" i="1"/>
  <c r="W96" i="1"/>
  <c r="X80" i="1"/>
  <c r="Y73" i="1"/>
  <c r="Z61" i="1"/>
  <c r="W37" i="1"/>
  <c r="AB27" i="1"/>
  <c r="U23" i="1"/>
  <c r="Y7" i="1"/>
  <c r="AC136" i="1"/>
  <c r="U96" i="1"/>
  <c r="W80" i="1"/>
  <c r="X73" i="1"/>
  <c r="Y61" i="1"/>
  <c r="X42" i="1"/>
  <c r="V37" i="1"/>
  <c r="T23" i="1"/>
  <c r="Y19" i="1"/>
  <c r="X7" i="1"/>
  <c r="AN4" i="1"/>
  <c r="X124" i="1"/>
  <c r="V80" i="1"/>
  <c r="W73" i="1"/>
  <c r="X61" i="1"/>
  <c r="W42" i="1"/>
  <c r="U37" i="1"/>
  <c r="Z27" i="1"/>
  <c r="V19" i="1"/>
  <c r="W7" i="1"/>
  <c r="X136" i="1"/>
  <c r="W124" i="1"/>
  <c r="U80" i="1"/>
  <c r="V73" i="1"/>
  <c r="W61" i="1"/>
  <c r="X50" i="1"/>
  <c r="U27" i="1"/>
  <c r="AC17" i="1"/>
  <c r="V7" i="1"/>
  <c r="AC128" i="1"/>
  <c r="AC119" i="1"/>
  <c r="W50" i="1"/>
  <c r="U46" i="1"/>
  <c r="AB17" i="1"/>
  <c r="AC143" i="1"/>
  <c r="V136" i="1"/>
  <c r="W132" i="1"/>
  <c r="AA128" i="1"/>
  <c r="AB119" i="1"/>
  <c r="Z101" i="1"/>
  <c r="T65" i="1"/>
  <c r="U61" i="1"/>
  <c r="U50" i="1"/>
  <c r="AB45" i="1"/>
  <c r="AC21" i="1"/>
  <c r="U136" i="1"/>
  <c r="V132" i="1"/>
  <c r="X128" i="1"/>
  <c r="V112" i="1"/>
  <c r="X101" i="1"/>
  <c r="X84" i="1"/>
  <c r="X54" i="1"/>
  <c r="AA45" i="1"/>
  <c r="AA82" i="1"/>
  <c r="AB82" i="1"/>
  <c r="AC82" i="1"/>
  <c r="V86" i="1"/>
  <c r="Y86" i="1"/>
  <c r="Z86" i="1"/>
  <c r="W86" i="1"/>
  <c r="X86" i="1"/>
  <c r="U89" i="1"/>
  <c r="AA85" i="1"/>
  <c r="Z127" i="1"/>
  <c r="V66" i="1"/>
  <c r="Y66" i="1"/>
  <c r="Z66" i="1"/>
  <c r="T66" i="1"/>
  <c r="W66" i="1"/>
  <c r="X66" i="1"/>
  <c r="X127" i="1"/>
  <c r="AA74" i="1"/>
  <c r="AB74" i="1"/>
  <c r="AC74" i="1"/>
  <c r="Z85" i="1"/>
  <c r="AB51" i="1"/>
  <c r="AA51" i="1"/>
  <c r="AC51" i="1"/>
  <c r="T55" i="1"/>
  <c r="U55" i="1"/>
  <c r="V55" i="1"/>
  <c r="W55" i="1"/>
  <c r="Y55" i="1"/>
  <c r="Z55" i="1"/>
  <c r="T63" i="1"/>
  <c r="U63" i="1"/>
  <c r="V63" i="1"/>
  <c r="W63" i="1"/>
  <c r="X63" i="1"/>
  <c r="Y63" i="1"/>
  <c r="X85" i="1"/>
  <c r="AA59" i="1"/>
  <c r="AB59" i="1"/>
  <c r="AC59" i="1"/>
  <c r="AA63" i="1"/>
  <c r="AB63" i="1"/>
  <c r="Z67" i="1"/>
  <c r="X8" i="1"/>
  <c r="Y142" i="1"/>
  <c r="Z142" i="1"/>
  <c r="V142" i="1"/>
  <c r="W142" i="1"/>
  <c r="X142" i="1"/>
  <c r="Y127" i="1"/>
  <c r="W127" i="1"/>
  <c r="V78" i="1"/>
  <c r="Y78" i="1"/>
  <c r="Z78" i="1"/>
  <c r="V90" i="1"/>
  <c r="Y90" i="1"/>
  <c r="Z90" i="1"/>
  <c r="T90" i="1"/>
  <c r="W90" i="1"/>
  <c r="X90" i="1"/>
  <c r="V40" i="1"/>
  <c r="Y40" i="1"/>
  <c r="Z40" i="1"/>
  <c r="T40" i="1"/>
  <c r="U40" i="1"/>
  <c r="W40" i="1"/>
  <c r="X40" i="1"/>
  <c r="AA71" i="1"/>
  <c r="AC71" i="1"/>
  <c r="U97" i="1"/>
  <c r="Y67" i="1"/>
  <c r="U8" i="1"/>
  <c r="V8" i="1"/>
  <c r="Y8" i="1"/>
  <c r="Z8" i="1"/>
  <c r="U135" i="1"/>
  <c r="Y135" i="1"/>
  <c r="V135" i="1"/>
  <c r="W135" i="1"/>
  <c r="X135" i="1"/>
  <c r="Z135" i="1"/>
  <c r="AB77" i="1"/>
  <c r="AA89" i="1"/>
  <c r="AB89" i="1"/>
  <c r="AC89" i="1"/>
  <c r="U127" i="1"/>
  <c r="X51" i="1"/>
  <c r="Y51" i="1"/>
  <c r="Z51" i="1"/>
  <c r="V44" i="1"/>
  <c r="Y44" i="1"/>
  <c r="Z44" i="1"/>
  <c r="U44" i="1"/>
  <c r="T44" i="1"/>
  <c r="W44" i="1"/>
  <c r="X44" i="1"/>
  <c r="W79" i="1"/>
  <c r="T79" i="1"/>
  <c r="U79" i="1"/>
  <c r="V79" i="1"/>
  <c r="X79" i="1"/>
  <c r="Y79" i="1"/>
  <c r="Z79" i="1"/>
  <c r="T8" i="1"/>
  <c r="AA44" i="1"/>
  <c r="AB44" i="1"/>
  <c r="AC44" i="1"/>
  <c r="W67" i="1"/>
  <c r="W29" i="1"/>
  <c r="X29" i="1"/>
  <c r="Y29" i="1"/>
  <c r="Z29" i="1"/>
  <c r="AA48" i="1"/>
  <c r="AB48" i="1"/>
  <c r="AC48" i="1"/>
  <c r="AC101" i="1"/>
  <c r="AA75" i="1"/>
  <c r="V67" i="1"/>
  <c r="AA29" i="1"/>
  <c r="AB29" i="1"/>
  <c r="AC29" i="1"/>
  <c r="W33" i="1"/>
  <c r="T33" i="1"/>
  <c r="U33" i="1"/>
  <c r="V33" i="1"/>
  <c r="X33" i="1"/>
  <c r="Y33" i="1"/>
  <c r="V52" i="1"/>
  <c r="Y52" i="1"/>
  <c r="Z52" i="1"/>
  <c r="X52" i="1"/>
  <c r="T52" i="1"/>
  <c r="U52" i="1"/>
  <c r="W52" i="1"/>
  <c r="V56" i="1"/>
  <c r="Y56" i="1"/>
  <c r="Z56" i="1"/>
  <c r="V60" i="1"/>
  <c r="Y60" i="1"/>
  <c r="Z60" i="1"/>
  <c r="T60" i="1"/>
  <c r="U60" i="1"/>
  <c r="W60" i="1"/>
  <c r="X60" i="1"/>
  <c r="V64" i="1"/>
  <c r="Y64" i="1"/>
  <c r="Z64" i="1"/>
  <c r="AB101" i="1"/>
  <c r="Z93" i="1"/>
  <c r="Z75" i="1"/>
  <c r="AB71" i="1"/>
  <c r="U67" i="1"/>
  <c r="AA6" i="1"/>
  <c r="AB6" i="1"/>
  <c r="AC6" i="1"/>
  <c r="AA52" i="1"/>
  <c r="AB52" i="1"/>
  <c r="AC52" i="1"/>
  <c r="AA56" i="1"/>
  <c r="AB56" i="1"/>
  <c r="AC56" i="1"/>
  <c r="AA60" i="1"/>
  <c r="AB60" i="1"/>
  <c r="AC60" i="1"/>
  <c r="AA64" i="1"/>
  <c r="AB64" i="1"/>
  <c r="AC64" i="1"/>
  <c r="T141" i="1"/>
  <c r="V141" i="1"/>
  <c r="W141" i="1"/>
  <c r="Y141" i="1"/>
  <c r="Y75" i="1"/>
  <c r="AA108" i="1"/>
  <c r="AB108" i="1"/>
  <c r="AC108" i="1"/>
  <c r="V89" i="1"/>
  <c r="Z89" i="1"/>
  <c r="W89" i="1"/>
  <c r="X89" i="1"/>
  <c r="Y89" i="1"/>
  <c r="V70" i="1"/>
  <c r="Y70" i="1"/>
  <c r="Z70" i="1"/>
  <c r="X70" i="1"/>
  <c r="V105" i="1"/>
  <c r="Z105" i="1"/>
  <c r="W105" i="1"/>
  <c r="X105" i="1"/>
  <c r="Y105" i="1"/>
  <c r="X81" i="1"/>
  <c r="Y81" i="1"/>
  <c r="Z81" i="1"/>
  <c r="AA127" i="1"/>
  <c r="W15" i="1"/>
  <c r="T15" i="1"/>
  <c r="U15" i="1"/>
  <c r="V15" i="1"/>
  <c r="X15" i="1"/>
  <c r="Y15" i="1"/>
  <c r="Z15" i="1"/>
  <c r="T93" i="1"/>
  <c r="V93" i="1"/>
  <c r="W93" i="1"/>
  <c r="Y93" i="1"/>
  <c r="AA116" i="1"/>
  <c r="AB116" i="1"/>
  <c r="AC116" i="1"/>
  <c r="V74" i="1"/>
  <c r="Y74" i="1"/>
  <c r="Z74" i="1"/>
  <c r="T74" i="1"/>
  <c r="U74" i="1"/>
  <c r="X74" i="1"/>
  <c r="V127" i="1"/>
  <c r="W81" i="1"/>
  <c r="V81" i="1"/>
  <c r="AA40" i="1"/>
  <c r="AB40" i="1"/>
  <c r="AC40" i="1"/>
  <c r="X67" i="1"/>
  <c r="AA126" i="1"/>
  <c r="AB126" i="1"/>
  <c r="AC126" i="1"/>
  <c r="T135" i="1"/>
  <c r="U93" i="1"/>
  <c r="U70" i="1"/>
  <c r="AC37" i="1"/>
  <c r="AA37" i="1"/>
  <c r="AB37" i="1"/>
  <c r="T41" i="1"/>
  <c r="U41" i="1"/>
  <c r="V41" i="1"/>
  <c r="W41" i="1"/>
  <c r="X41" i="1"/>
  <c r="Y41" i="1"/>
  <c r="Z41" i="1"/>
  <c r="Y130" i="1"/>
  <c r="Z130" i="1"/>
  <c r="T130" i="1"/>
  <c r="U130" i="1"/>
  <c r="X130" i="1"/>
  <c r="V130" i="1"/>
  <c r="W130" i="1"/>
  <c r="T145" i="1"/>
  <c r="X145" i="1"/>
  <c r="U145" i="1"/>
  <c r="V145" i="1"/>
  <c r="W145" i="1"/>
  <c r="Y145" i="1"/>
  <c r="Z145" i="1"/>
  <c r="T105" i="1"/>
  <c r="W75" i="1"/>
  <c r="T70" i="1"/>
  <c r="W56" i="1"/>
  <c r="V29" i="1"/>
  <c r="Y11" i="1"/>
  <c r="U18" i="1"/>
  <c r="V18" i="1"/>
  <c r="Y18" i="1"/>
  <c r="Z18" i="1"/>
  <c r="T18" i="1"/>
  <c r="W18" i="1"/>
  <c r="X18" i="1"/>
  <c r="AA41" i="1"/>
  <c r="AB41" i="1"/>
  <c r="AA130" i="1"/>
  <c r="AB130" i="1"/>
  <c r="AC130" i="1"/>
  <c r="Y134" i="1"/>
  <c r="Z134" i="1"/>
  <c r="AA145" i="1"/>
  <c r="AB145" i="1"/>
  <c r="AC145" i="1"/>
  <c r="AC109" i="1"/>
  <c r="X78" i="1"/>
  <c r="V75" i="1"/>
  <c r="U56" i="1"/>
  <c r="U29" i="1"/>
  <c r="X11" i="1"/>
  <c r="AA104" i="1"/>
  <c r="AB104" i="1"/>
  <c r="AC104" i="1"/>
  <c r="AA123" i="1"/>
  <c r="AC123" i="1"/>
  <c r="AB123" i="1"/>
  <c r="Y146" i="1"/>
  <c r="Z146" i="1"/>
  <c r="T146" i="1"/>
  <c r="U146" i="1"/>
  <c r="W146" i="1"/>
  <c r="AC77" i="1"/>
  <c r="W11" i="1"/>
  <c r="AA100" i="1"/>
  <c r="AB100" i="1"/>
  <c r="AC100" i="1"/>
  <c r="T85" i="1"/>
  <c r="V85" i="1"/>
  <c r="W85" i="1"/>
  <c r="Y85" i="1"/>
  <c r="V108" i="1"/>
  <c r="Y108" i="1"/>
  <c r="Z108" i="1"/>
  <c r="T108" i="1"/>
  <c r="U108" i="1"/>
  <c r="W108" i="1"/>
  <c r="X108" i="1"/>
  <c r="AB81" i="1"/>
  <c r="AA81" i="1"/>
  <c r="AC81" i="1"/>
  <c r="V97" i="1"/>
  <c r="Z97" i="1"/>
  <c r="W97" i="1"/>
  <c r="X97" i="1"/>
  <c r="Y97" i="1"/>
  <c r="Y112" i="1"/>
  <c r="Z112" i="1"/>
  <c r="U112" i="1"/>
  <c r="AA124" i="1"/>
  <c r="AB124" i="1"/>
  <c r="AC124" i="1"/>
  <c r="AC85" i="1"/>
  <c r="V82" i="1"/>
  <c r="Y82" i="1"/>
  <c r="Z82" i="1"/>
  <c r="T82" i="1"/>
  <c r="U82" i="1"/>
  <c r="W82" i="1"/>
  <c r="AA78" i="1"/>
  <c r="AB78" i="1"/>
  <c r="AC78" i="1"/>
  <c r="T81" i="1"/>
  <c r="Y37" i="1"/>
  <c r="Z37" i="1"/>
  <c r="AA122" i="1"/>
  <c r="AB122" i="1"/>
  <c r="AC122" i="1"/>
  <c r="X75" i="1"/>
  <c r="U66" i="1"/>
  <c r="U22" i="1"/>
  <c r="V22" i="1"/>
  <c r="Y22" i="1"/>
  <c r="Z22" i="1"/>
  <c r="W22" i="1"/>
  <c r="U26" i="1"/>
  <c r="V26" i="1"/>
  <c r="Y26" i="1"/>
  <c r="Z26" i="1"/>
  <c r="W26" i="1"/>
  <c r="X26" i="1"/>
  <c r="T111" i="1"/>
  <c r="U111" i="1"/>
  <c r="V111" i="1"/>
  <c r="W111" i="1"/>
  <c r="Y111" i="1"/>
  <c r="Z111" i="1"/>
  <c r="AA134" i="1"/>
  <c r="AB134" i="1"/>
  <c r="AC134" i="1"/>
  <c r="U142" i="1"/>
  <c r="AB109" i="1"/>
  <c r="W78" i="1"/>
  <c r="T75" i="1"/>
  <c r="T56" i="1"/>
  <c r="W51" i="1"/>
  <c r="T29" i="1"/>
  <c r="AA22" i="1"/>
  <c r="AB22" i="1"/>
  <c r="AC22" i="1"/>
  <c r="AA26" i="1"/>
  <c r="AB26" i="1"/>
  <c r="AC26" i="1"/>
  <c r="V30" i="1"/>
  <c r="Y30" i="1"/>
  <c r="Z30" i="1"/>
  <c r="W30" i="1"/>
  <c r="U30" i="1"/>
  <c r="T30" i="1"/>
  <c r="X30" i="1"/>
  <c r="V92" i="1"/>
  <c r="Y92" i="1"/>
  <c r="Z92" i="1"/>
  <c r="T92" i="1"/>
  <c r="U92" i="1"/>
  <c r="W92" i="1"/>
  <c r="X92" i="1"/>
  <c r="V96" i="1"/>
  <c r="Y96" i="1"/>
  <c r="Z96" i="1"/>
  <c r="W115" i="1"/>
  <c r="X115" i="1"/>
  <c r="Y115" i="1"/>
  <c r="Z115" i="1"/>
  <c r="U119" i="1"/>
  <c r="V119" i="1"/>
  <c r="X119" i="1"/>
  <c r="Y138" i="1"/>
  <c r="Z138" i="1"/>
  <c r="T138" i="1"/>
  <c r="U138" i="1"/>
  <c r="V138" i="1"/>
  <c r="X138" i="1"/>
  <c r="X146" i="1"/>
  <c r="T142" i="1"/>
  <c r="W134" i="1"/>
  <c r="AC131" i="1"/>
  <c r="U78" i="1"/>
  <c r="W74" i="1"/>
  <c r="V51" i="1"/>
  <c r="V11" i="1"/>
  <c r="AA15" i="1"/>
  <c r="AB15" i="1"/>
  <c r="AC15" i="1"/>
  <c r="AA66" i="1"/>
  <c r="AB66" i="1"/>
  <c r="AC66" i="1"/>
  <c r="AA70" i="1"/>
  <c r="AB70" i="1"/>
  <c r="AC70" i="1"/>
  <c r="U105" i="1"/>
  <c r="AA7" i="1"/>
  <c r="AB7" i="1"/>
  <c r="AA30" i="1"/>
  <c r="AB30" i="1"/>
  <c r="AC30" i="1"/>
  <c r="AA92" i="1"/>
  <c r="AB92" i="1"/>
  <c r="AC92" i="1"/>
  <c r="AA96" i="1"/>
  <c r="AB96" i="1"/>
  <c r="AC96" i="1"/>
  <c r="V100" i="1"/>
  <c r="Y100" i="1"/>
  <c r="Z100" i="1"/>
  <c r="T100" i="1"/>
  <c r="U100" i="1"/>
  <c r="W100" i="1"/>
  <c r="X100" i="1"/>
  <c r="V104" i="1"/>
  <c r="Y104" i="1"/>
  <c r="Z104" i="1"/>
  <c r="AA115" i="1"/>
  <c r="AB115" i="1"/>
  <c r="AC115" i="1"/>
  <c r="W123" i="1"/>
  <c r="T123" i="1"/>
  <c r="U123" i="1"/>
  <c r="V123" i="1"/>
  <c r="X123" i="1"/>
  <c r="Y123" i="1"/>
  <c r="Z123" i="1"/>
  <c r="AA138" i="1"/>
  <c r="AB138" i="1"/>
  <c r="AC138" i="1"/>
  <c r="V146" i="1"/>
  <c r="AA131" i="1"/>
  <c r="W104" i="1"/>
  <c r="Z83" i="1"/>
  <c r="T78" i="1"/>
  <c r="U51" i="1"/>
  <c r="AC33" i="1"/>
  <c r="U11" i="1"/>
  <c r="AA18" i="1"/>
  <c r="AB18" i="1"/>
  <c r="AC18" i="1"/>
  <c r="V48" i="1"/>
  <c r="Y48" i="1"/>
  <c r="Z48" i="1"/>
  <c r="AA112" i="1"/>
  <c r="AB112" i="1"/>
  <c r="AC112" i="1"/>
  <c r="Y116" i="1"/>
  <c r="Z116" i="1"/>
  <c r="AA142" i="1"/>
  <c r="AB142" i="1"/>
  <c r="AC142" i="1"/>
  <c r="V124" i="1"/>
  <c r="X109" i="1"/>
  <c r="Y101" i="1"/>
  <c r="Z19" i="1"/>
  <c r="X16" i="1"/>
  <c r="AA86" i="1"/>
  <c r="AB86" i="1"/>
  <c r="AC86" i="1"/>
  <c r="Y120" i="1"/>
  <c r="Z120" i="1"/>
  <c r="AA146" i="1"/>
  <c r="AB146" i="1"/>
  <c r="AC146" i="1"/>
  <c r="V109" i="1"/>
  <c r="X19" i="1"/>
  <c r="AA120" i="1"/>
  <c r="AB120" i="1"/>
  <c r="AC120" i="1"/>
  <c r="Y124" i="1"/>
  <c r="Z124" i="1"/>
  <c r="Y131" i="1"/>
  <c r="W116" i="1"/>
  <c r="V101" i="1"/>
  <c r="W19" i="1"/>
  <c r="AA8" i="1"/>
  <c r="AB8" i="1"/>
  <c r="AC8" i="1"/>
  <c r="AA90" i="1"/>
  <c r="AB90" i="1"/>
  <c r="AC90" i="1"/>
  <c r="V98" i="1"/>
  <c r="Y98" i="1"/>
  <c r="Z98" i="1"/>
  <c r="U116" i="1"/>
  <c r="U19" i="1"/>
  <c r="U12" i="1"/>
  <c r="V12" i="1"/>
  <c r="Y12" i="1"/>
  <c r="Z12" i="1"/>
  <c r="AA68" i="1"/>
  <c r="AB68" i="1"/>
  <c r="AC68" i="1"/>
  <c r="V72" i="1"/>
  <c r="Y72" i="1"/>
  <c r="Z72" i="1"/>
  <c r="AA98" i="1"/>
  <c r="AB98" i="1"/>
  <c r="AC98" i="1"/>
  <c r="V131" i="1"/>
  <c r="Z71" i="1"/>
  <c r="V34" i="1"/>
  <c r="Y34" i="1"/>
  <c r="Z34" i="1"/>
  <c r="V68" i="1"/>
  <c r="Y68" i="1"/>
  <c r="Z68" i="1"/>
  <c r="V94" i="1"/>
  <c r="Y94" i="1"/>
  <c r="Z94" i="1"/>
  <c r="T98" i="1"/>
  <c r="AA34" i="1"/>
  <c r="AB34" i="1"/>
  <c r="AC34" i="1"/>
  <c r="AA94" i="1"/>
  <c r="AB94" i="1"/>
  <c r="AC94" i="1"/>
  <c r="V102" i="1"/>
  <c r="Y102" i="1"/>
  <c r="Z102" i="1"/>
  <c r="T116" i="1"/>
  <c r="AB79" i="1"/>
  <c r="AA12" i="1"/>
  <c r="AB12" i="1"/>
  <c r="AC12" i="1"/>
  <c r="V38" i="1"/>
  <c r="Y38" i="1"/>
  <c r="Z38" i="1"/>
  <c r="AA72" i="1"/>
  <c r="AB72" i="1"/>
  <c r="AC72" i="1"/>
  <c r="AA102" i="1"/>
  <c r="AB102" i="1"/>
  <c r="AC102" i="1"/>
  <c r="AC135" i="1"/>
  <c r="U131" i="1"/>
  <c r="X103" i="1"/>
  <c r="X87" i="1"/>
  <c r="Y71" i="1"/>
  <c r="AB57" i="1"/>
  <c r="Z49" i="1"/>
  <c r="U38" i="1"/>
  <c r="Y27" i="1"/>
  <c r="X24" i="1"/>
  <c r="U13" i="1"/>
  <c r="AA38" i="1"/>
  <c r="AB38" i="1"/>
  <c r="AC38" i="1"/>
  <c r="AB135" i="1"/>
  <c r="AC105" i="1"/>
  <c r="W103" i="1"/>
  <c r="AC97" i="1"/>
  <c r="W87" i="1"/>
  <c r="X71" i="1"/>
  <c r="AC65" i="1"/>
  <c r="Y49" i="1"/>
  <c r="T38" i="1"/>
  <c r="Z35" i="1"/>
  <c r="X27" i="1"/>
  <c r="W24" i="1"/>
  <c r="V76" i="1"/>
  <c r="Y76" i="1"/>
  <c r="Z76" i="1"/>
  <c r="Y140" i="1"/>
  <c r="Z140" i="1"/>
  <c r="W140" i="1"/>
  <c r="AB105" i="1"/>
  <c r="V103" i="1"/>
  <c r="AB97" i="1"/>
  <c r="W71" i="1"/>
  <c r="X68" i="1"/>
  <c r="AB65" i="1"/>
  <c r="Z57" i="1"/>
  <c r="X49" i="1"/>
  <c r="X46" i="1"/>
  <c r="Y35" i="1"/>
  <c r="W27" i="1"/>
  <c r="AC9" i="1"/>
  <c r="U16" i="1"/>
  <c r="V16" i="1"/>
  <c r="Y16" i="1"/>
  <c r="Z16" i="1"/>
  <c r="V42" i="1"/>
  <c r="Y42" i="1"/>
  <c r="Z42" i="1"/>
  <c r="AA140" i="1"/>
  <c r="AB140" i="1"/>
  <c r="AC140" i="1"/>
  <c r="AC125" i="1"/>
  <c r="X76" i="1"/>
  <c r="V71" i="1"/>
  <c r="W68" i="1"/>
  <c r="Y57" i="1"/>
  <c r="X35" i="1"/>
  <c r="X12" i="1"/>
  <c r="V46" i="1"/>
  <c r="Y46" i="1"/>
  <c r="Z46" i="1"/>
  <c r="Y114" i="1"/>
  <c r="Z114" i="1"/>
  <c r="AA144" i="1"/>
  <c r="AB144" i="1"/>
  <c r="AC144" i="1"/>
  <c r="X120" i="1"/>
  <c r="U76" i="1"/>
  <c r="T71" i="1"/>
  <c r="Y65" i="1"/>
  <c r="W57" i="1"/>
  <c r="T46" i="1"/>
  <c r="V35" i="1"/>
  <c r="AC23" i="1"/>
  <c r="T12" i="1"/>
  <c r="Z9" i="1"/>
  <c r="U24" i="1"/>
  <c r="V24" i="1"/>
  <c r="Y24" i="1"/>
  <c r="Z24" i="1"/>
  <c r="AA46" i="1"/>
  <c r="AB46" i="1"/>
  <c r="AC46" i="1"/>
  <c r="V50" i="1"/>
  <c r="Y50" i="1"/>
  <c r="Z50" i="1"/>
  <c r="AA114" i="1"/>
  <c r="AB114" i="1"/>
  <c r="AC114" i="1"/>
  <c r="Y148" i="1"/>
  <c r="Z148" i="1"/>
  <c r="Z137" i="1"/>
  <c r="Z125" i="1"/>
  <c r="W120" i="1"/>
  <c r="AC107" i="1"/>
  <c r="T76" i="1"/>
  <c r="X65" i="1"/>
  <c r="V57" i="1"/>
  <c r="U35" i="1"/>
  <c r="AB23" i="1"/>
  <c r="Y9" i="1"/>
  <c r="X6" i="1"/>
  <c r="AA16" i="1"/>
  <c r="AB16" i="1"/>
  <c r="AC16" i="1"/>
  <c r="AA20" i="1"/>
  <c r="AB20" i="1"/>
  <c r="AC20" i="1"/>
  <c r="T68" i="1"/>
  <c r="AA24" i="1"/>
  <c r="AB24" i="1"/>
  <c r="AC24" i="1"/>
  <c r="V28" i="1"/>
  <c r="Y28" i="1"/>
  <c r="Z28" i="1"/>
  <c r="AA50" i="1"/>
  <c r="AB50" i="1"/>
  <c r="AC50" i="1"/>
  <c r="V88" i="1"/>
  <c r="Y88" i="1"/>
  <c r="Z88" i="1"/>
  <c r="Y118" i="1"/>
  <c r="Z118" i="1"/>
  <c r="AA148" i="1"/>
  <c r="AB148" i="1"/>
  <c r="AC148" i="1"/>
  <c r="Y125" i="1"/>
  <c r="V120" i="1"/>
  <c r="AB107" i="1"/>
  <c r="X102" i="1"/>
  <c r="X94" i="1"/>
  <c r="W65" i="1"/>
  <c r="U57" i="1"/>
  <c r="X9" i="1"/>
  <c r="U20" i="1"/>
  <c r="V20" i="1"/>
  <c r="Y20" i="1"/>
  <c r="Z20" i="1"/>
  <c r="AA42" i="1"/>
  <c r="AB42" i="1"/>
  <c r="AC42" i="1"/>
  <c r="Y144" i="1"/>
  <c r="Z144" i="1"/>
  <c r="U68" i="1"/>
  <c r="Z65" i="1"/>
  <c r="U6" i="1"/>
  <c r="V6" i="1"/>
  <c r="Y6" i="1"/>
  <c r="Z6" i="1"/>
  <c r="AA28" i="1"/>
  <c r="AB28" i="1"/>
  <c r="AC28" i="1"/>
  <c r="AA88" i="1"/>
  <c r="AB88" i="1"/>
  <c r="AC88" i="1"/>
  <c r="AA118" i="1"/>
  <c r="AB118" i="1"/>
  <c r="AC118" i="1"/>
  <c r="Y122" i="1"/>
  <c r="Z122" i="1"/>
  <c r="Y126" i="1"/>
  <c r="Z126" i="1"/>
  <c r="U120" i="1"/>
  <c r="W102" i="1"/>
  <c r="W94" i="1"/>
  <c r="X48" i="1"/>
  <c r="T6" i="1"/>
  <c r="AC106" i="1"/>
  <c r="AC80" i="1"/>
  <c r="AC76" i="1"/>
  <c r="AC62" i="1"/>
  <c r="AC58" i="1"/>
  <c r="AC54" i="1"/>
  <c r="AC36" i="1"/>
  <c r="AC32" i="1"/>
  <c r="AC14" i="1"/>
  <c r="AC10" i="1"/>
  <c r="AB110" i="1"/>
  <c r="AB106" i="1"/>
  <c r="AB84" i="1"/>
  <c r="AB80" i="1"/>
  <c r="AB76" i="1"/>
  <c r="AB62" i="1"/>
  <c r="AB58" i="1"/>
  <c r="AB54" i="1"/>
  <c r="AB36" i="1"/>
  <c r="AB32" i="1"/>
  <c r="AB14" i="1"/>
  <c r="AB10" i="1"/>
  <c r="Z136" i="1"/>
  <c r="Z132" i="1"/>
  <c r="Z128" i="1"/>
  <c r="Z110" i="1"/>
  <c r="Z106" i="1"/>
  <c r="Z84" i="1"/>
  <c r="Z80" i="1"/>
  <c r="Z62" i="1"/>
  <c r="Z58" i="1"/>
  <c r="Z54" i="1"/>
  <c r="Z36" i="1"/>
  <c r="Z32" i="1"/>
  <c r="Z14" i="1"/>
  <c r="AL4" i="1"/>
  <c r="Y10" i="1"/>
  <c r="V10" i="1"/>
  <c r="AK4" i="1"/>
  <c r="AK9" i="1" s="1"/>
  <c r="AM4" i="1"/>
  <c r="AJ4" i="1"/>
  <c r="AK8" i="1" s="1"/>
  <c r="T5" i="3"/>
  <c r="T27" i="3"/>
  <c r="T21" i="3"/>
  <c r="T7" i="3"/>
  <c r="T18" i="3"/>
  <c r="T24" i="3"/>
  <c r="T10" i="3"/>
  <c r="T6" i="3"/>
  <c r="T26" i="3"/>
  <c r="T9" i="3"/>
  <c r="T14" i="3"/>
  <c r="T8" i="3"/>
  <c r="T19" i="3"/>
  <c r="T23" i="3"/>
  <c r="T12" i="3"/>
  <c r="T17" i="3"/>
  <c r="T25" i="3"/>
  <c r="T16" i="3"/>
  <c r="T15" i="3"/>
  <c r="T11" i="3"/>
  <c r="T13" i="3"/>
  <c r="T22" i="3"/>
  <c r="T20" i="3"/>
  <c r="AK19" i="1" l="1"/>
  <c r="AK17" i="1"/>
  <c r="AK18" i="1"/>
  <c r="AK11" i="1"/>
  <c r="AK13" i="1"/>
  <c r="AK14" i="1"/>
  <c r="AK15" i="1"/>
  <c r="AK10" i="1"/>
  <c r="AK12" i="1"/>
  <c r="AK16" i="1"/>
</calcChain>
</file>

<file path=xl/sharedStrings.xml><?xml version="1.0" encoding="utf-8"?>
<sst xmlns="http://schemas.openxmlformats.org/spreadsheetml/2006/main" count="33" uniqueCount="31">
  <si>
    <r>
      <t xml:space="preserve">RAS </t>
    </r>
    <r>
      <rPr>
        <sz val="11"/>
        <color theme="1"/>
        <rFont val="Calibri"/>
        <family val="2"/>
        <scheme val="minor"/>
      </rPr>
      <t>(with area reduction factor)</t>
    </r>
  </si>
  <si>
    <t>ARF</t>
  </si>
  <si>
    <t>HMS</t>
  </si>
  <si>
    <t>total rainfall -&gt;</t>
  </si>
  <si>
    <t>Time</t>
  </si>
  <si>
    <t>10-1000</t>
  </si>
  <si>
    <t>2000-10000</t>
  </si>
  <si>
    <t>PMP</t>
  </si>
  <si>
    <t>rainfall in 1 hour</t>
  </si>
  <si>
    <t>RI</t>
  </si>
  <si>
    <t>Depth (mm)</t>
  </si>
  <si>
    <t xml:space="preserve"> </t>
  </si>
  <si>
    <t>Area</t>
  </si>
  <si>
    <t>FM ARF</t>
  </si>
  <si>
    <t>time</t>
  </si>
  <si>
    <t>PMP_frac</t>
  </si>
  <si>
    <t>PMP CUM</t>
  </si>
  <si>
    <t>PMP old</t>
  </si>
  <si>
    <t>PMP new</t>
  </si>
  <si>
    <t>PMP_%</t>
  </si>
  <si>
    <t>base</t>
  </si>
  <si>
    <t>peak at step</t>
  </si>
  <si>
    <t>peak hour %</t>
  </si>
  <si>
    <t>Sigma</t>
  </si>
  <si>
    <t>Shaheen Old</t>
  </si>
  <si>
    <t>T(h) </t>
  </si>
  <si>
    <t>Shaheen old cum</t>
  </si>
  <si>
    <t>PMP new cum</t>
  </si>
  <si>
    <t>R1_20000</t>
  </si>
  <si>
    <t>R1_20000 cum</t>
  </si>
  <si>
    <t>1 hour rainfall depth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</si>
</sst>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00000"/>
    <numFmt numFmtId="166" formatCode="0.000000"/>
  </numFmts>
  <fonts count="7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35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2" fillId="0" borderId="4" xfId="0" applyNumberFormat="1" applyFont="1" applyBorder="1" applyAlignment="1">
      <alignment horizontal="center" vertical="center"/>
    </xf>
    <xf numFmtId="2" fontId="3" fillId="2" borderId="4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164" fontId="0" fillId="0" borderId="8" xfId="0" applyNumberFormat="1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2" fontId="0" fillId="0" borderId="0" xfId="0" applyNumberFormat="1"/>
    <xf numFmtId="0" fontId="5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5" fillId="0" borderId="0" xfId="0" applyFont="1" applyAlignment="1">
      <alignment horizontal="center" vertical="center"/>
    </xf>
    <xf numFmtId="2" fontId="0" fillId="0" borderId="0" xfId="1" applyNumberFormat="1" applyFont="1"/>
    <xf numFmtId="10" fontId="0" fillId="0" borderId="0" xfId="0" applyNumberFormat="1" applyAlignment="1">
      <alignment horizontal="center" vertical="center"/>
    </xf>
    <xf numFmtId="166" fontId="0" fillId="0" borderId="1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'FM 10 min precipitation'!$B$3</c:f>
              <c:strCache>
                <c:ptCount val="1"/>
                <c:pt idx="0">
                  <c:v>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'FM 10 min precipitation'!$A$4:$A$148</c:f>
              <c:numCache>
                <c:formatCode>0.00</c:formatCode>
                <c:ptCount val="145"/>
                <c:pt idx="0">
                  <c:v>0</c:v>
                </c:pt>
                <c:pt idx="1">
                  <c:v>0.69444444444444442</c:v>
                </c:pt>
                <c:pt idx="2">
                  <c:v>1.3888888888888888</c:v>
                </c:pt>
                <c:pt idx="3">
                  <c:v>2.083333333333333</c:v>
                </c:pt>
                <c:pt idx="4">
                  <c:v>2.7777777777777777</c:v>
                </c:pt>
                <c:pt idx="5">
                  <c:v>3.4722222222222223</c:v>
                </c:pt>
                <c:pt idx="6">
                  <c:v>4.1666666666666661</c:v>
                </c:pt>
                <c:pt idx="7">
                  <c:v>4.8611111111111116</c:v>
                </c:pt>
                <c:pt idx="8">
                  <c:v>5.5555555555555554</c:v>
                </c:pt>
                <c:pt idx="9">
                  <c:v>6.25</c:v>
                </c:pt>
                <c:pt idx="10">
                  <c:v>6.9444444444444446</c:v>
                </c:pt>
                <c:pt idx="11">
                  <c:v>7.6388888888888893</c:v>
                </c:pt>
                <c:pt idx="12">
                  <c:v>8.3333333333333321</c:v>
                </c:pt>
                <c:pt idx="13">
                  <c:v>9.0277777777777768</c:v>
                </c:pt>
                <c:pt idx="14">
                  <c:v>9.7222222222222232</c:v>
                </c:pt>
                <c:pt idx="15">
                  <c:v>10.416666666666668</c:v>
                </c:pt>
                <c:pt idx="16">
                  <c:v>11.111111111111111</c:v>
                </c:pt>
                <c:pt idx="17">
                  <c:v>11.805555555555555</c:v>
                </c:pt>
                <c:pt idx="18">
                  <c:v>12.5</c:v>
                </c:pt>
                <c:pt idx="19">
                  <c:v>13.194444444444445</c:v>
                </c:pt>
                <c:pt idx="20">
                  <c:v>13.888888888888889</c:v>
                </c:pt>
                <c:pt idx="21">
                  <c:v>14.583333333333334</c:v>
                </c:pt>
                <c:pt idx="22">
                  <c:v>15.277777777777779</c:v>
                </c:pt>
                <c:pt idx="23">
                  <c:v>15.972222222222221</c:v>
                </c:pt>
                <c:pt idx="24">
                  <c:v>16.666666666666664</c:v>
                </c:pt>
                <c:pt idx="25">
                  <c:v>17.361111111111111</c:v>
                </c:pt>
                <c:pt idx="26">
                  <c:v>18.055555555555554</c:v>
                </c:pt>
                <c:pt idx="27">
                  <c:v>18.75</c:v>
                </c:pt>
                <c:pt idx="28">
                  <c:v>19.444444444444446</c:v>
                </c:pt>
                <c:pt idx="29">
                  <c:v>20.138888888888889</c:v>
                </c:pt>
                <c:pt idx="30">
                  <c:v>20.833333333333336</c:v>
                </c:pt>
                <c:pt idx="31">
                  <c:v>21.527777777777779</c:v>
                </c:pt>
                <c:pt idx="32">
                  <c:v>22.222222222222221</c:v>
                </c:pt>
                <c:pt idx="33">
                  <c:v>22.916666666666664</c:v>
                </c:pt>
                <c:pt idx="34">
                  <c:v>23.611111111111111</c:v>
                </c:pt>
                <c:pt idx="35">
                  <c:v>24.305555555555554</c:v>
                </c:pt>
                <c:pt idx="36">
                  <c:v>25</c:v>
                </c:pt>
                <c:pt idx="37">
                  <c:v>25.694444444444443</c:v>
                </c:pt>
                <c:pt idx="38">
                  <c:v>26.388888888888889</c:v>
                </c:pt>
                <c:pt idx="39">
                  <c:v>27.083333333333332</c:v>
                </c:pt>
                <c:pt idx="40">
                  <c:v>27.777777777777779</c:v>
                </c:pt>
                <c:pt idx="41">
                  <c:v>28.472222222222221</c:v>
                </c:pt>
                <c:pt idx="42">
                  <c:v>29.166666666666668</c:v>
                </c:pt>
                <c:pt idx="43">
                  <c:v>29.861111111111111</c:v>
                </c:pt>
                <c:pt idx="44">
                  <c:v>30.555555555555557</c:v>
                </c:pt>
                <c:pt idx="45">
                  <c:v>31.25</c:v>
                </c:pt>
                <c:pt idx="46">
                  <c:v>31.944444444444443</c:v>
                </c:pt>
                <c:pt idx="47">
                  <c:v>32.638888888888893</c:v>
                </c:pt>
                <c:pt idx="48">
                  <c:v>33.333333333333329</c:v>
                </c:pt>
                <c:pt idx="49">
                  <c:v>34.027777777777779</c:v>
                </c:pt>
                <c:pt idx="50">
                  <c:v>34.722222222222221</c:v>
                </c:pt>
                <c:pt idx="51">
                  <c:v>35.416666666666671</c:v>
                </c:pt>
                <c:pt idx="52">
                  <c:v>36.111111111111107</c:v>
                </c:pt>
                <c:pt idx="53">
                  <c:v>36.805555555555557</c:v>
                </c:pt>
                <c:pt idx="54">
                  <c:v>37.5</c:v>
                </c:pt>
                <c:pt idx="55">
                  <c:v>38.194444444444443</c:v>
                </c:pt>
                <c:pt idx="56">
                  <c:v>38.888888888888893</c:v>
                </c:pt>
                <c:pt idx="57">
                  <c:v>39.583333333333329</c:v>
                </c:pt>
                <c:pt idx="58">
                  <c:v>40.277777777777779</c:v>
                </c:pt>
                <c:pt idx="59">
                  <c:v>40.972222222222221</c:v>
                </c:pt>
                <c:pt idx="60">
                  <c:v>41.666666666666671</c:v>
                </c:pt>
                <c:pt idx="61">
                  <c:v>42.361111111111107</c:v>
                </c:pt>
                <c:pt idx="62">
                  <c:v>43.055555555555557</c:v>
                </c:pt>
                <c:pt idx="63">
                  <c:v>43.75</c:v>
                </c:pt>
                <c:pt idx="64">
                  <c:v>44.444444444444443</c:v>
                </c:pt>
                <c:pt idx="65">
                  <c:v>45.138888888888893</c:v>
                </c:pt>
                <c:pt idx="66">
                  <c:v>45.833333333333329</c:v>
                </c:pt>
                <c:pt idx="67">
                  <c:v>46.527777777777779</c:v>
                </c:pt>
                <c:pt idx="68">
                  <c:v>47.222222222222221</c:v>
                </c:pt>
                <c:pt idx="69">
                  <c:v>47.916666666666671</c:v>
                </c:pt>
                <c:pt idx="70">
                  <c:v>48.611111111111107</c:v>
                </c:pt>
                <c:pt idx="71">
                  <c:v>49.305555555555557</c:v>
                </c:pt>
                <c:pt idx="72">
                  <c:v>50</c:v>
                </c:pt>
                <c:pt idx="73">
                  <c:v>50.694444444444443</c:v>
                </c:pt>
                <c:pt idx="74">
                  <c:v>51.388888888888886</c:v>
                </c:pt>
                <c:pt idx="75">
                  <c:v>52.083333333333336</c:v>
                </c:pt>
                <c:pt idx="76">
                  <c:v>52.777777777777779</c:v>
                </c:pt>
                <c:pt idx="77">
                  <c:v>53.472222222222221</c:v>
                </c:pt>
                <c:pt idx="78">
                  <c:v>54.166666666666664</c:v>
                </c:pt>
                <c:pt idx="79">
                  <c:v>54.861111111111114</c:v>
                </c:pt>
                <c:pt idx="80">
                  <c:v>55.555555555555557</c:v>
                </c:pt>
                <c:pt idx="81">
                  <c:v>56.25</c:v>
                </c:pt>
                <c:pt idx="82">
                  <c:v>56.944444444444443</c:v>
                </c:pt>
                <c:pt idx="83">
                  <c:v>57.638888888888886</c:v>
                </c:pt>
                <c:pt idx="84">
                  <c:v>58.333333333333336</c:v>
                </c:pt>
                <c:pt idx="85">
                  <c:v>59.027777777777779</c:v>
                </c:pt>
                <c:pt idx="86">
                  <c:v>59.722222222222221</c:v>
                </c:pt>
                <c:pt idx="87">
                  <c:v>60.416666666666664</c:v>
                </c:pt>
                <c:pt idx="88">
                  <c:v>61.111111111111114</c:v>
                </c:pt>
                <c:pt idx="89">
                  <c:v>61.805555555555557</c:v>
                </c:pt>
                <c:pt idx="90">
                  <c:v>62.5</c:v>
                </c:pt>
                <c:pt idx="91">
                  <c:v>63.194444444444443</c:v>
                </c:pt>
                <c:pt idx="92">
                  <c:v>63.888888888888886</c:v>
                </c:pt>
                <c:pt idx="93">
                  <c:v>64.583333333333343</c:v>
                </c:pt>
                <c:pt idx="94">
                  <c:v>65.277777777777786</c:v>
                </c:pt>
                <c:pt idx="95">
                  <c:v>65.972222222222214</c:v>
                </c:pt>
                <c:pt idx="96">
                  <c:v>66.666666666666657</c:v>
                </c:pt>
                <c:pt idx="97">
                  <c:v>67.361111111111114</c:v>
                </c:pt>
                <c:pt idx="98">
                  <c:v>68.055555555555557</c:v>
                </c:pt>
                <c:pt idx="99">
                  <c:v>68.75</c:v>
                </c:pt>
                <c:pt idx="100">
                  <c:v>69.444444444444443</c:v>
                </c:pt>
                <c:pt idx="101">
                  <c:v>70.138888888888886</c:v>
                </c:pt>
                <c:pt idx="102">
                  <c:v>70.833333333333343</c:v>
                </c:pt>
                <c:pt idx="103">
                  <c:v>71.527777777777786</c:v>
                </c:pt>
                <c:pt idx="104">
                  <c:v>72.222222222222214</c:v>
                </c:pt>
                <c:pt idx="105">
                  <c:v>72.916666666666657</c:v>
                </c:pt>
                <c:pt idx="106">
                  <c:v>73.611111111111114</c:v>
                </c:pt>
                <c:pt idx="107">
                  <c:v>74.305555555555557</c:v>
                </c:pt>
                <c:pt idx="108">
                  <c:v>75</c:v>
                </c:pt>
                <c:pt idx="109">
                  <c:v>75.694444444444443</c:v>
                </c:pt>
                <c:pt idx="110">
                  <c:v>76.388888888888886</c:v>
                </c:pt>
                <c:pt idx="111">
                  <c:v>77.083333333333343</c:v>
                </c:pt>
                <c:pt idx="112">
                  <c:v>77.777777777777786</c:v>
                </c:pt>
                <c:pt idx="113">
                  <c:v>78.472222222222214</c:v>
                </c:pt>
                <c:pt idx="114">
                  <c:v>79.166666666666657</c:v>
                </c:pt>
                <c:pt idx="115">
                  <c:v>79.861111111111114</c:v>
                </c:pt>
                <c:pt idx="116">
                  <c:v>80.555555555555557</c:v>
                </c:pt>
                <c:pt idx="117">
                  <c:v>81.25</c:v>
                </c:pt>
                <c:pt idx="118">
                  <c:v>81.944444444444443</c:v>
                </c:pt>
                <c:pt idx="119">
                  <c:v>82.638888888888886</c:v>
                </c:pt>
                <c:pt idx="120">
                  <c:v>83.333333333333343</c:v>
                </c:pt>
                <c:pt idx="121">
                  <c:v>84.027777777777786</c:v>
                </c:pt>
                <c:pt idx="122">
                  <c:v>84.722222222222214</c:v>
                </c:pt>
                <c:pt idx="123">
                  <c:v>85.416666666666657</c:v>
                </c:pt>
                <c:pt idx="124">
                  <c:v>86.111111111111114</c:v>
                </c:pt>
                <c:pt idx="125">
                  <c:v>86.805555555555557</c:v>
                </c:pt>
                <c:pt idx="126">
                  <c:v>87.5</c:v>
                </c:pt>
                <c:pt idx="127">
                  <c:v>88.194444444444443</c:v>
                </c:pt>
                <c:pt idx="128">
                  <c:v>88.888888888888886</c:v>
                </c:pt>
                <c:pt idx="129">
                  <c:v>89.583333333333343</c:v>
                </c:pt>
                <c:pt idx="130">
                  <c:v>90.277777777777786</c:v>
                </c:pt>
                <c:pt idx="131">
                  <c:v>90.972222222222214</c:v>
                </c:pt>
                <c:pt idx="132">
                  <c:v>91.666666666666657</c:v>
                </c:pt>
                <c:pt idx="133">
                  <c:v>92.361111111111114</c:v>
                </c:pt>
                <c:pt idx="134">
                  <c:v>93.055555555555557</c:v>
                </c:pt>
                <c:pt idx="135">
                  <c:v>93.75</c:v>
                </c:pt>
                <c:pt idx="136">
                  <c:v>94.444444444444443</c:v>
                </c:pt>
                <c:pt idx="137">
                  <c:v>95.138888888888886</c:v>
                </c:pt>
                <c:pt idx="138">
                  <c:v>95.833333333333343</c:v>
                </c:pt>
                <c:pt idx="139">
                  <c:v>96.527777777777786</c:v>
                </c:pt>
                <c:pt idx="140">
                  <c:v>97.222222222222214</c:v>
                </c:pt>
                <c:pt idx="141">
                  <c:v>97.916666666666657</c:v>
                </c:pt>
                <c:pt idx="142">
                  <c:v>98.611111111111114</c:v>
                </c:pt>
                <c:pt idx="143">
                  <c:v>99.305555555555557</c:v>
                </c:pt>
                <c:pt idx="144">
                  <c:v>100</c:v>
                </c:pt>
              </c:numCache>
            </c:numRef>
          </c:xVal>
          <c:yVal>
            <c:numRef>
              <c:f>'FM 10 min precipitation'!$B$4:$B$148</c:f>
              <c:numCache>
                <c:formatCode>0.00</c:formatCode>
                <c:ptCount val="145"/>
                <c:pt idx="0">
                  <c:v>0</c:v>
                </c:pt>
                <c:pt idx="1">
                  <c:v>0.103846307026699</c:v>
                </c:pt>
                <c:pt idx="2">
                  <c:v>0.20899637536330312</c:v>
                </c:pt>
                <c:pt idx="3">
                  <c:v>0.31548620898767099</c:v>
                </c:pt>
                <c:pt idx="4">
                  <c:v>0.42335336230552345</c:v>
                </c:pt>
                <c:pt idx="5">
                  <c:v>0.53263704158030378</c:v>
                </c:pt>
                <c:pt idx="6">
                  <c:v>0.643378191873058</c:v>
                </c:pt>
                <c:pt idx="7">
                  <c:v>0.7556196057172847</c:v>
                </c:pt>
                <c:pt idx="8">
                  <c:v>0.86940603903877567</c:v>
                </c:pt>
                <c:pt idx="9">
                  <c:v>0.98478434156543571</c:v>
                </c:pt>
                <c:pt idx="10">
                  <c:v>1.1018035763696172</c:v>
                </c:pt>
                <c:pt idx="11">
                  <c:v>1.2205151756354073</c:v>
                </c:pt>
                <c:pt idx="12">
                  <c:v>1.340973092803416</c:v>
                </c:pt>
                <c:pt idx="13">
                  <c:v>1.4632339764505378</c:v>
                </c:pt>
                <c:pt idx="14">
                  <c:v>1.5873573441697111</c:v>
                </c:pt>
                <c:pt idx="15">
                  <c:v>1.7134057962971243</c:v>
                </c:pt>
                <c:pt idx="16">
                  <c:v>1.8414452296394199</c:v>
                </c:pt>
                <c:pt idx="17">
                  <c:v>1.9715450693133767</c:v>
                </c:pt>
                <c:pt idx="18">
                  <c:v>2.1037785404330336</c:v>
                </c:pt>
                <c:pt idx="19">
                  <c:v>2.2382229434193106</c:v>
                </c:pt>
                <c:pt idx="20">
                  <c:v>2.3749599764020641</c:v>
                </c:pt>
                <c:pt idx="21">
                  <c:v>2.5140760684896284</c:v>
                </c:pt>
                <c:pt idx="22">
                  <c:v>2.6556627709982736</c:v>
                </c:pt>
                <c:pt idx="23">
                  <c:v>2.7998171595491557</c:v>
                </c:pt>
                <c:pt idx="24">
                  <c:v>2.9466423049926616</c:v>
                </c:pt>
                <c:pt idx="25">
                  <c:v>3.0962477841802101</c:v>
                </c:pt>
                <c:pt idx="26">
                  <c:v>3.2487502378284794</c:v>
                </c:pt>
                <c:pt idx="27">
                  <c:v>3.4042740044560342</c:v>
                </c:pt>
                <c:pt idx="28">
                  <c:v>3.5629518267698534</c:v>
                </c:pt>
                <c:pt idx="29">
                  <c:v>3.7249256268792572</c:v>
                </c:pt>
                <c:pt idx="30">
                  <c:v>3.8903473865621971</c:v>
                </c:pt>
                <c:pt idx="31">
                  <c:v>4.0593801434513797</c:v>
                </c:pt>
                <c:pt idx="32">
                  <c:v>4.2321990886502574</c:v>
                </c:pt>
                <c:pt idx="33">
                  <c:v>4.4089928346062743</c:v>
                </c:pt>
                <c:pt idx="34">
                  <c:v>4.5899648315064194</c:v>
                </c:pt>
                <c:pt idx="35">
                  <c:v>4.7753349901549846</c:v>
                </c:pt>
                <c:pt idx="36">
                  <c:v>4.965341529446019</c:v>
                </c:pt>
                <c:pt idx="37">
                  <c:v>5.160243091900413</c:v>
                </c:pt>
                <c:pt idx="38">
                  <c:v>5.360321181605034</c:v>
                </c:pt>
                <c:pt idx="39">
                  <c:v>5.5658829716463609</c:v>
                </c:pt>
                <c:pt idx="40">
                  <c:v>5.7772645643559839</c:v>
                </c:pt>
                <c:pt idx="41">
                  <c:v>5.9948347949303606</c:v>
                </c:pt>
                <c:pt idx="42">
                  <c:v>6.2189996762321913</c:v>
                </c:pt>
                <c:pt idx="43">
                  <c:v>6.4502076332956975</c:v>
                </c:pt>
                <c:pt idx="44">
                  <c:v>6.6889557050380741</c:v>
                </c:pt>
                <c:pt idx="45">
                  <c:v>6.9357969196593174</c:v>
                </c:pt>
                <c:pt idx="46">
                  <c:v>7.1913491480200262</c:v>
                </c:pt>
                <c:pt idx="47">
                  <c:v>7.4563057827566643</c:v>
                </c:pt>
                <c:pt idx="48">
                  <c:v>7.7314487285486591</c:v>
                </c:pt>
                <c:pt idx="49">
                  <c:v>8.0176643266064485</c:v>
                </c:pt>
                <c:pt idx="50">
                  <c:v>8.3159630719117832</c:v>
                </c:pt>
                <c:pt idx="51">
                  <c:v>8.6275042099588237</c:v>
                </c:pt>
                <c:pt idx="52">
                  <c:v>8.9536268322512633</c:v>
                </c:pt>
                <c:pt idx="53">
                  <c:v>9.2958895498676242</c:v>
                </c:pt>
                <c:pt idx="54">
                  <c:v>9.6561218604404413</c:v>
                </c:pt>
                <c:pt idx="55">
                  <c:v>10.036491544675831</c:v>
                </c:pt>
                <c:pt idx="56">
                  <c:v>10.43959455132206</c:v>
                </c:pt>
                <c:pt idx="57">
                  <c:v>10.868577028158795</c:v>
                </c:pt>
                <c:pt idx="58">
                  <c:v>11.327304420063953</c:v>
                </c:pt>
                <c:pt idx="59">
                  <c:v>11.820601267315576</c:v>
                </c:pt>
                <c:pt idx="60">
                  <c:v>12.35460050829521</c:v>
                </c:pt>
                <c:pt idx="61">
                  <c:v>12.937268386259197</c:v>
                </c:pt>
                <c:pt idx="62">
                  <c:v>13.579222828920285</c:v>
                </c:pt>
                <c:pt idx="63">
                  <c:v>14.295066990289</c:v>
                </c:pt>
                <c:pt idx="64">
                  <c:v>15.105682518229221</c:v>
                </c:pt>
                <c:pt idx="65">
                  <c:v>16.042448196221638</c:v>
                </c:pt>
                <c:pt idx="66">
                  <c:v>17.155703913811319</c:v>
                </c:pt>
                <c:pt idx="67">
                  <c:v>18.533826515201383</c:v>
                </c:pt>
                <c:pt idx="68">
                  <c:v>20.353937107598991</c:v>
                </c:pt>
                <c:pt idx="69">
                  <c:v>23.056078702860873</c:v>
                </c:pt>
                <c:pt idx="70">
                  <c:v>28.303746813911768</c:v>
                </c:pt>
                <c:pt idx="71">
                  <c:v>65.04393925711436</c:v>
                </c:pt>
                <c:pt idx="72">
                  <c:v>74.626695657191846</c:v>
                </c:pt>
                <c:pt idx="73">
                  <c:v>78.199222915571823</c:v>
                </c:pt>
                <c:pt idx="74">
                  <c:v>80.37286285883664</c:v>
                </c:pt>
                <c:pt idx="75">
                  <c:v>81.940350220190112</c:v>
                </c:pt>
                <c:pt idx="76">
                  <c:v>83.171290541599078</c:v>
                </c:pt>
                <c:pt idx="77">
                  <c:v>84.188281859565805</c:v>
                </c:pt>
                <c:pt idx="78">
                  <c:v>85.05714000710249</c:v>
                </c:pt>
                <c:pt idx="79">
                  <c:v>85.817235582138423</c:v>
                </c:pt>
                <c:pt idx="80">
                  <c:v>86.493986733747647</c:v>
                </c:pt>
                <c:pt idx="81">
                  <c:v>87.104761104891566</c:v>
                </c:pt>
                <c:pt idx="82">
                  <c:v>87.661956927433309</c:v>
                </c:pt>
                <c:pt idx="83">
                  <c:v>88.174738762354494</c:v>
                </c:pt>
                <c:pt idx="84">
                  <c:v>88.650075869836058</c:v>
                </c:pt>
                <c:pt idx="85">
                  <c:v>89.093394345299174</c:v>
                </c:pt>
                <c:pt idx="86">
                  <c:v>89.509003512424712</c:v>
                </c:pt>
                <c:pt idx="87">
                  <c:v>89.900384299113256</c:v>
                </c:pt>
                <c:pt idx="88">
                  <c:v>90.270389988913266</c:v>
                </c:pt>
                <c:pt idx="89">
                  <c:v>90.621389476208591</c:v>
                </c:pt>
                <c:pt idx="90">
                  <c:v>90.95537175346432</c:v>
                </c:pt>
                <c:pt idx="91">
                  <c:v>91.274023577519813</c:v>
                </c:pt>
                <c:pt idx="92">
                  <c:v>91.578788190232657</c:v>
                </c:pt>
                <c:pt idx="93">
                  <c:v>91.870910396806565</c:v>
                </c:pt>
                <c:pt idx="94">
                  <c:v>92.151471627920458</c:v>
                </c:pt>
                <c:pt idx="95">
                  <c:v>92.421417564875469</c:v>
                </c:pt>
                <c:pt idx="96">
                  <c:v>92.681580124517055</c:v>
                </c:pt>
                <c:pt idx="97">
                  <c:v>92.932695165990651</c:v>
                </c:pt>
                <c:pt idx="98">
                  <c:v>93.175416853934308</c:v>
                </c:pt>
                <c:pt idx="99">
                  <c:v>93.410329427964982</c:v>
                </c:pt>
                <c:pt idx="100">
                  <c:v>93.637956914587662</c:v>
                </c:pt>
                <c:pt idx="101">
                  <c:v>93.858771201736701</c:v>
                </c:pt>
                <c:pt idx="102">
                  <c:v>94.073198798351569</c:v>
                </c:pt>
                <c:pt idx="103">
                  <c:v>94.281626525316426</c:v>
                </c:pt>
                <c:pt idx="104">
                  <c:v>94.484406340623465</c:v>
                </c:pt>
                <c:pt idx="105">
                  <c:v>94.681859443659846</c:v>
                </c:pt>
                <c:pt idx="106">
                  <c:v>94.874279796272759</c:v>
                </c:pt>
                <c:pt idx="107">
                  <c:v>95.061937143930308</c:v>
                </c:pt>
                <c:pt idx="108">
                  <c:v>95.245079634785341</c:v>
                </c:pt>
                <c:pt idx="109">
                  <c:v>95.423936087357347</c:v>
                </c:pt>
                <c:pt idx="110">
                  <c:v>95.598717964792286</c:v>
                </c:pt>
                <c:pt idx="111">
                  <c:v>95.769621110037605</c:v>
                </c:pt>
                <c:pt idx="112">
                  <c:v>95.936827256422788</c:v>
                </c:pt>
                <c:pt idx="113">
                  <c:v>96.100505371604825</c:v>
                </c:pt>
                <c:pt idx="114">
                  <c:v>96.260812834879232</c:v>
                </c:pt>
                <c:pt idx="115">
                  <c:v>96.417896480458566</c:v>
                </c:pt>
                <c:pt idx="116">
                  <c:v>96.571893539321096</c:v>
                </c:pt>
                <c:pt idx="117">
                  <c:v>96.722932457894757</c:v>
                </c:pt>
                <c:pt idx="118">
                  <c:v>96.871133644291007</c:v>
                </c:pt>
                <c:pt idx="119">
                  <c:v>97.016610134844001</c:v>
                </c:pt>
                <c:pt idx="120">
                  <c:v>97.159468180954761</c:v>
                </c:pt>
                <c:pt idx="121">
                  <c:v>97.299807799710351</c:v>
                </c:pt>
                <c:pt idx="122">
                  <c:v>97.437723248430828</c:v>
                </c:pt>
                <c:pt idx="123">
                  <c:v>97.573303466613581</c:v>
                </c:pt>
                <c:pt idx="124">
                  <c:v>97.706632474407741</c:v>
                </c:pt>
                <c:pt idx="125">
                  <c:v>97.837789727618755</c:v>
                </c:pt>
                <c:pt idx="126">
                  <c:v>97.966850454600404</c:v>
                </c:pt>
                <c:pt idx="127">
                  <c:v>98.093885946054414</c:v>
                </c:pt>
                <c:pt idx="128">
                  <c:v>98.218963830340016</c:v>
                </c:pt>
                <c:pt idx="129">
                  <c:v>98.34214832704869</c:v>
                </c:pt>
                <c:pt idx="130">
                  <c:v>98.463500471598749</c:v>
                </c:pt>
                <c:pt idx="131">
                  <c:v>98.583078321717679</c:v>
                </c:pt>
                <c:pt idx="132">
                  <c:v>98.700937156679231</c:v>
                </c:pt>
                <c:pt idx="133">
                  <c:v>98.817129647560805</c:v>
                </c:pt>
                <c:pt idx="134">
                  <c:v>98.931706023878135</c:v>
                </c:pt>
                <c:pt idx="135">
                  <c:v>99.044714225730132</c:v>
                </c:pt>
                <c:pt idx="136">
                  <c:v>99.156200037831184</c:v>
                </c:pt>
                <c:pt idx="137">
                  <c:v>99.266207219920915</c:v>
                </c:pt>
                <c:pt idx="138">
                  <c:v>99.374777629929127</c:v>
                </c:pt>
                <c:pt idx="139">
                  <c:v>99.481951329028092</c:v>
                </c:pt>
                <c:pt idx="140">
                  <c:v>99.587766683062426</c:v>
                </c:pt>
                <c:pt idx="141">
                  <c:v>99.692260463978897</c:v>
                </c:pt>
                <c:pt idx="142">
                  <c:v>99.795467929521422</c:v>
                </c:pt>
                <c:pt idx="143">
                  <c:v>99.897422917415824</c:v>
                </c:pt>
                <c:pt idx="144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29-4FB4-956E-27E806D59F04}"/>
            </c:ext>
          </c:extLst>
        </c:ser>
        <c:ser>
          <c:idx val="1"/>
          <c:order val="1"/>
          <c:tx>
            <c:strRef>
              <c:f>'FM 10 min precipitation'!$C$3</c:f>
              <c:strCache>
                <c:ptCount val="1"/>
                <c:pt idx="0">
                  <c:v>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'FM 10 min precipitation'!$A$4:$A$148</c:f>
              <c:numCache>
                <c:formatCode>0.00</c:formatCode>
                <c:ptCount val="145"/>
                <c:pt idx="0">
                  <c:v>0</c:v>
                </c:pt>
                <c:pt idx="1">
                  <c:v>0.69444444444444442</c:v>
                </c:pt>
                <c:pt idx="2">
                  <c:v>1.3888888888888888</c:v>
                </c:pt>
                <c:pt idx="3">
                  <c:v>2.083333333333333</c:v>
                </c:pt>
                <c:pt idx="4">
                  <c:v>2.7777777777777777</c:v>
                </c:pt>
                <c:pt idx="5">
                  <c:v>3.4722222222222223</c:v>
                </c:pt>
                <c:pt idx="6">
                  <c:v>4.1666666666666661</c:v>
                </c:pt>
                <c:pt idx="7">
                  <c:v>4.8611111111111116</c:v>
                </c:pt>
                <c:pt idx="8">
                  <c:v>5.5555555555555554</c:v>
                </c:pt>
                <c:pt idx="9">
                  <c:v>6.25</c:v>
                </c:pt>
                <c:pt idx="10">
                  <c:v>6.9444444444444446</c:v>
                </c:pt>
                <c:pt idx="11">
                  <c:v>7.6388888888888893</c:v>
                </c:pt>
                <c:pt idx="12">
                  <c:v>8.3333333333333321</c:v>
                </c:pt>
                <c:pt idx="13">
                  <c:v>9.0277777777777768</c:v>
                </c:pt>
                <c:pt idx="14">
                  <c:v>9.7222222222222232</c:v>
                </c:pt>
                <c:pt idx="15">
                  <c:v>10.416666666666668</c:v>
                </c:pt>
                <c:pt idx="16">
                  <c:v>11.111111111111111</c:v>
                </c:pt>
                <c:pt idx="17">
                  <c:v>11.805555555555555</c:v>
                </c:pt>
                <c:pt idx="18">
                  <c:v>12.5</c:v>
                </c:pt>
                <c:pt idx="19">
                  <c:v>13.194444444444445</c:v>
                </c:pt>
                <c:pt idx="20">
                  <c:v>13.888888888888889</c:v>
                </c:pt>
                <c:pt idx="21">
                  <c:v>14.583333333333334</c:v>
                </c:pt>
                <c:pt idx="22">
                  <c:v>15.277777777777779</c:v>
                </c:pt>
                <c:pt idx="23">
                  <c:v>15.972222222222221</c:v>
                </c:pt>
                <c:pt idx="24">
                  <c:v>16.666666666666664</c:v>
                </c:pt>
                <c:pt idx="25">
                  <c:v>17.361111111111111</c:v>
                </c:pt>
                <c:pt idx="26">
                  <c:v>18.055555555555554</c:v>
                </c:pt>
                <c:pt idx="27">
                  <c:v>18.75</c:v>
                </c:pt>
                <c:pt idx="28">
                  <c:v>19.444444444444446</c:v>
                </c:pt>
                <c:pt idx="29">
                  <c:v>20.138888888888889</c:v>
                </c:pt>
                <c:pt idx="30">
                  <c:v>20.833333333333336</c:v>
                </c:pt>
                <c:pt idx="31">
                  <c:v>21.527777777777779</c:v>
                </c:pt>
                <c:pt idx="32">
                  <c:v>22.222222222222221</c:v>
                </c:pt>
                <c:pt idx="33">
                  <c:v>22.916666666666664</c:v>
                </c:pt>
                <c:pt idx="34">
                  <c:v>23.611111111111111</c:v>
                </c:pt>
                <c:pt idx="35">
                  <c:v>24.305555555555554</c:v>
                </c:pt>
                <c:pt idx="36">
                  <c:v>25</c:v>
                </c:pt>
                <c:pt idx="37">
                  <c:v>25.694444444444443</c:v>
                </c:pt>
                <c:pt idx="38">
                  <c:v>26.388888888888889</c:v>
                </c:pt>
                <c:pt idx="39">
                  <c:v>27.083333333333332</c:v>
                </c:pt>
                <c:pt idx="40">
                  <c:v>27.777777777777779</c:v>
                </c:pt>
                <c:pt idx="41">
                  <c:v>28.472222222222221</c:v>
                </c:pt>
                <c:pt idx="42">
                  <c:v>29.166666666666668</c:v>
                </c:pt>
                <c:pt idx="43">
                  <c:v>29.861111111111111</c:v>
                </c:pt>
                <c:pt idx="44">
                  <c:v>30.555555555555557</c:v>
                </c:pt>
                <c:pt idx="45">
                  <c:v>31.25</c:v>
                </c:pt>
                <c:pt idx="46">
                  <c:v>31.944444444444443</c:v>
                </c:pt>
                <c:pt idx="47">
                  <c:v>32.638888888888893</c:v>
                </c:pt>
                <c:pt idx="48">
                  <c:v>33.333333333333329</c:v>
                </c:pt>
                <c:pt idx="49">
                  <c:v>34.027777777777779</c:v>
                </c:pt>
                <c:pt idx="50">
                  <c:v>34.722222222222221</c:v>
                </c:pt>
                <c:pt idx="51">
                  <c:v>35.416666666666671</c:v>
                </c:pt>
                <c:pt idx="52">
                  <c:v>36.111111111111107</c:v>
                </c:pt>
                <c:pt idx="53">
                  <c:v>36.805555555555557</c:v>
                </c:pt>
                <c:pt idx="54">
                  <c:v>37.5</c:v>
                </c:pt>
                <c:pt idx="55">
                  <c:v>38.194444444444443</c:v>
                </c:pt>
                <c:pt idx="56">
                  <c:v>38.888888888888893</c:v>
                </c:pt>
                <c:pt idx="57">
                  <c:v>39.583333333333329</c:v>
                </c:pt>
                <c:pt idx="58">
                  <c:v>40.277777777777779</c:v>
                </c:pt>
                <c:pt idx="59">
                  <c:v>40.972222222222221</c:v>
                </c:pt>
                <c:pt idx="60">
                  <c:v>41.666666666666671</c:v>
                </c:pt>
                <c:pt idx="61">
                  <c:v>42.361111111111107</c:v>
                </c:pt>
                <c:pt idx="62">
                  <c:v>43.055555555555557</c:v>
                </c:pt>
                <c:pt idx="63">
                  <c:v>43.75</c:v>
                </c:pt>
                <c:pt idx="64">
                  <c:v>44.444444444444443</c:v>
                </c:pt>
                <c:pt idx="65">
                  <c:v>45.138888888888893</c:v>
                </c:pt>
                <c:pt idx="66">
                  <c:v>45.833333333333329</c:v>
                </c:pt>
                <c:pt idx="67">
                  <c:v>46.527777777777779</c:v>
                </c:pt>
                <c:pt idx="68">
                  <c:v>47.222222222222221</c:v>
                </c:pt>
                <c:pt idx="69">
                  <c:v>47.916666666666671</c:v>
                </c:pt>
                <c:pt idx="70">
                  <c:v>48.611111111111107</c:v>
                </c:pt>
                <c:pt idx="71">
                  <c:v>49.305555555555557</c:v>
                </c:pt>
                <c:pt idx="72">
                  <c:v>50</c:v>
                </c:pt>
                <c:pt idx="73">
                  <c:v>50.694444444444443</c:v>
                </c:pt>
                <c:pt idx="74">
                  <c:v>51.388888888888886</c:v>
                </c:pt>
                <c:pt idx="75">
                  <c:v>52.083333333333336</c:v>
                </c:pt>
                <c:pt idx="76">
                  <c:v>52.777777777777779</c:v>
                </c:pt>
                <c:pt idx="77">
                  <c:v>53.472222222222221</c:v>
                </c:pt>
                <c:pt idx="78">
                  <c:v>54.166666666666664</c:v>
                </c:pt>
                <c:pt idx="79">
                  <c:v>54.861111111111114</c:v>
                </c:pt>
                <c:pt idx="80">
                  <c:v>55.555555555555557</c:v>
                </c:pt>
                <c:pt idx="81">
                  <c:v>56.25</c:v>
                </c:pt>
                <c:pt idx="82">
                  <c:v>56.944444444444443</c:v>
                </c:pt>
                <c:pt idx="83">
                  <c:v>57.638888888888886</c:v>
                </c:pt>
                <c:pt idx="84">
                  <c:v>58.333333333333336</c:v>
                </c:pt>
                <c:pt idx="85">
                  <c:v>59.027777777777779</c:v>
                </c:pt>
                <c:pt idx="86">
                  <c:v>59.722222222222221</c:v>
                </c:pt>
                <c:pt idx="87">
                  <c:v>60.416666666666664</c:v>
                </c:pt>
                <c:pt idx="88">
                  <c:v>61.111111111111114</c:v>
                </c:pt>
                <c:pt idx="89">
                  <c:v>61.805555555555557</c:v>
                </c:pt>
                <c:pt idx="90">
                  <c:v>62.5</c:v>
                </c:pt>
                <c:pt idx="91">
                  <c:v>63.194444444444443</c:v>
                </c:pt>
                <c:pt idx="92">
                  <c:v>63.888888888888886</c:v>
                </c:pt>
                <c:pt idx="93">
                  <c:v>64.583333333333343</c:v>
                </c:pt>
                <c:pt idx="94">
                  <c:v>65.277777777777786</c:v>
                </c:pt>
                <c:pt idx="95">
                  <c:v>65.972222222222214</c:v>
                </c:pt>
                <c:pt idx="96">
                  <c:v>66.666666666666657</c:v>
                </c:pt>
                <c:pt idx="97">
                  <c:v>67.361111111111114</c:v>
                </c:pt>
                <c:pt idx="98">
                  <c:v>68.055555555555557</c:v>
                </c:pt>
                <c:pt idx="99">
                  <c:v>68.75</c:v>
                </c:pt>
                <c:pt idx="100">
                  <c:v>69.444444444444443</c:v>
                </c:pt>
                <c:pt idx="101">
                  <c:v>70.138888888888886</c:v>
                </c:pt>
                <c:pt idx="102">
                  <c:v>70.833333333333343</c:v>
                </c:pt>
                <c:pt idx="103">
                  <c:v>71.527777777777786</c:v>
                </c:pt>
                <c:pt idx="104">
                  <c:v>72.222222222222214</c:v>
                </c:pt>
                <c:pt idx="105">
                  <c:v>72.916666666666657</c:v>
                </c:pt>
                <c:pt idx="106">
                  <c:v>73.611111111111114</c:v>
                </c:pt>
                <c:pt idx="107">
                  <c:v>74.305555555555557</c:v>
                </c:pt>
                <c:pt idx="108">
                  <c:v>75</c:v>
                </c:pt>
                <c:pt idx="109">
                  <c:v>75.694444444444443</c:v>
                </c:pt>
                <c:pt idx="110">
                  <c:v>76.388888888888886</c:v>
                </c:pt>
                <c:pt idx="111">
                  <c:v>77.083333333333343</c:v>
                </c:pt>
                <c:pt idx="112">
                  <c:v>77.777777777777786</c:v>
                </c:pt>
                <c:pt idx="113">
                  <c:v>78.472222222222214</c:v>
                </c:pt>
                <c:pt idx="114">
                  <c:v>79.166666666666657</c:v>
                </c:pt>
                <c:pt idx="115">
                  <c:v>79.861111111111114</c:v>
                </c:pt>
                <c:pt idx="116">
                  <c:v>80.555555555555557</c:v>
                </c:pt>
                <c:pt idx="117">
                  <c:v>81.25</c:v>
                </c:pt>
                <c:pt idx="118">
                  <c:v>81.944444444444443</c:v>
                </c:pt>
                <c:pt idx="119">
                  <c:v>82.638888888888886</c:v>
                </c:pt>
                <c:pt idx="120">
                  <c:v>83.333333333333343</c:v>
                </c:pt>
                <c:pt idx="121">
                  <c:v>84.027777777777786</c:v>
                </c:pt>
                <c:pt idx="122">
                  <c:v>84.722222222222214</c:v>
                </c:pt>
                <c:pt idx="123">
                  <c:v>85.416666666666657</c:v>
                </c:pt>
                <c:pt idx="124">
                  <c:v>86.111111111111114</c:v>
                </c:pt>
                <c:pt idx="125">
                  <c:v>86.805555555555557</c:v>
                </c:pt>
                <c:pt idx="126">
                  <c:v>87.5</c:v>
                </c:pt>
                <c:pt idx="127">
                  <c:v>88.194444444444443</c:v>
                </c:pt>
                <c:pt idx="128">
                  <c:v>88.888888888888886</c:v>
                </c:pt>
                <c:pt idx="129">
                  <c:v>89.583333333333343</c:v>
                </c:pt>
                <c:pt idx="130">
                  <c:v>90.277777777777786</c:v>
                </c:pt>
                <c:pt idx="131">
                  <c:v>90.972222222222214</c:v>
                </c:pt>
                <c:pt idx="132">
                  <c:v>91.666666666666657</c:v>
                </c:pt>
                <c:pt idx="133">
                  <c:v>92.361111111111114</c:v>
                </c:pt>
                <c:pt idx="134">
                  <c:v>93.055555555555557</c:v>
                </c:pt>
                <c:pt idx="135">
                  <c:v>93.75</c:v>
                </c:pt>
                <c:pt idx="136">
                  <c:v>94.444444444444443</c:v>
                </c:pt>
                <c:pt idx="137">
                  <c:v>95.138888888888886</c:v>
                </c:pt>
                <c:pt idx="138">
                  <c:v>95.833333333333343</c:v>
                </c:pt>
                <c:pt idx="139">
                  <c:v>96.527777777777786</c:v>
                </c:pt>
                <c:pt idx="140">
                  <c:v>97.222222222222214</c:v>
                </c:pt>
                <c:pt idx="141">
                  <c:v>97.916666666666657</c:v>
                </c:pt>
                <c:pt idx="142">
                  <c:v>98.611111111111114</c:v>
                </c:pt>
                <c:pt idx="143">
                  <c:v>99.305555555555557</c:v>
                </c:pt>
                <c:pt idx="144">
                  <c:v>100</c:v>
                </c:pt>
              </c:numCache>
            </c:numRef>
          </c:xVal>
          <c:yVal>
            <c:numRef>
              <c:f>'FM 10 min precipitation'!$C$4:$C$148</c:f>
              <c:numCache>
                <c:formatCode>0.00</c:formatCode>
                <c:ptCount val="145"/>
                <c:pt idx="0">
                  <c:v>0</c:v>
                </c:pt>
                <c:pt idx="1">
                  <c:v>0.14254830309065586</c:v>
                </c:pt>
                <c:pt idx="2">
                  <c:v>0.28676181090705377</c:v>
                </c:pt>
                <c:pt idx="3">
                  <c:v>0.4326849004686919</c:v>
                </c:pt>
                <c:pt idx="4">
                  <c:v>0.58036381425674344</c:v>
                </c:pt>
                <c:pt idx="5">
                  <c:v>0.72984676867113063</c:v>
                </c:pt>
                <c:pt idx="6">
                  <c:v>0.88118407152568867</c:v>
                </c:pt>
                <c:pt idx="7">
                  <c:v>1.0344282467738009</c:v>
                </c:pt>
                <c:pt idx="8">
                  <c:v>1.1896341700797406</c:v>
                </c:pt>
                <c:pt idx="9">
                  <c:v>1.3468592080052517</c:v>
                </c:pt>
                <c:pt idx="10">
                  <c:v>1.5061633825027751</c:v>
                </c:pt>
                <c:pt idx="11">
                  <c:v>1.6676095354086797</c:v>
                </c:pt>
                <c:pt idx="12">
                  <c:v>1.8312635110126694</c:v>
                </c:pt>
                <c:pt idx="13">
                  <c:v>1.997194356703371</c:v>
                </c:pt>
                <c:pt idx="14">
                  <c:v>2.1654745380748652</c:v>
                </c:pt>
                <c:pt idx="15">
                  <c:v>2.3361801666865394</c:v>
                </c:pt>
                <c:pt idx="16">
                  <c:v>2.5093912621676875</c:v>
                </c:pt>
                <c:pt idx="17">
                  <c:v>2.6851920233601922</c:v>
                </c:pt>
                <c:pt idx="18">
                  <c:v>2.8636711338059504</c:v>
                </c:pt>
                <c:pt idx="19">
                  <c:v>3.0449220889257176</c:v>
                </c:pt>
                <c:pt idx="20">
                  <c:v>3.2290435593503002</c:v>
                </c:pt>
                <c:pt idx="21">
                  <c:v>3.416139784981262</c:v>
                </c:pt>
                <c:pt idx="22">
                  <c:v>3.6063210142420745</c:v>
                </c:pt>
                <c:pt idx="23">
                  <c:v>3.7997039812892415</c:v>
                </c:pt>
                <c:pt idx="24">
                  <c:v>3.9964124320291097</c:v>
                </c:pt>
                <c:pt idx="25">
                  <c:v>4.1965777134013038</c:v>
                </c:pt>
                <c:pt idx="26">
                  <c:v>4.4003394186983176</c:v>
                </c:pt>
                <c:pt idx="27">
                  <c:v>4.6078461033822053</c:v>
                </c:pt>
                <c:pt idx="28">
                  <c:v>4.819256085859311</c:v>
                </c:pt>
                <c:pt idx="29">
                  <c:v>5.0347383404435089</c:v>
                </c:pt>
                <c:pt idx="30">
                  <c:v>5.2544734915460563</c:v>
                </c:pt>
                <c:pt idx="31">
                  <c:v>5.4786549307834527</c:v>
                </c:pt>
                <c:pt idx="32">
                  <c:v>5.7074900750794981</c:v>
                </c:pt>
                <c:pt idx="33">
                  <c:v>5.9412017802224977</c:v>
                </c:pt>
                <c:pt idx="34">
                  <c:v>6.1800299424147189</c:v>
                </c:pt>
                <c:pt idx="35">
                  <c:v>6.4242333167360028</c:v>
                </c:pt>
                <c:pt idx="36">
                  <c:v>6.674091583251025</c:v>
                </c:pt>
                <c:pt idx="37">
                  <c:v>6.9299077131811355</c:v>
                </c:pt>
                <c:pt idx="38">
                  <c:v>7.1920106749083432</c:v>
                </c:pt>
                <c:pt idx="39">
                  <c:v>7.4607585593466892</c:v>
                </c:pt>
                <c:pt idx="40">
                  <c:v>7.7365421897551805</c:v>
                </c:pt>
                <c:pt idx="41">
                  <c:v>8.0197893081808616</c:v>
                </c:pt>
                <c:pt idx="42">
                  <c:v>8.3109694813337924</c:v>
                </c:pt>
                <c:pt idx="43">
                  <c:v>8.6105998325434268</c:v>
                </c:pt>
                <c:pt idx="44">
                  <c:v>8.9192518257485887</c:v>
                </c:pt>
                <c:pt idx="45">
                  <c:v>9.2375593021666731</c:v>
                </c:pt>
                <c:pt idx="46">
                  <c:v>9.5662280895904104</c:v>
                </c:pt>
                <c:pt idx="47">
                  <c:v>9.9060475440281692</c:v>
                </c:pt>
                <c:pt idx="48">
                  <c:v>10.257904542474146</c:v>
                </c:pt>
                <c:pt idx="49">
                  <c:v>10.622800559474673</c:v>
                </c:pt>
                <c:pt idx="50">
                  <c:v>11.001872705992993</c:v>
                </c:pt>
                <c:pt idx="51">
                  <c:v>11.396419872986977</c:v>
                </c:pt>
                <c:pt idx="52">
                  <c:v>11.807935584864488</c:v>
                </c:pt>
                <c:pt idx="53">
                  <c:v>12.238149724727428</c:v>
                </c:pt>
                <c:pt idx="54">
                  <c:v>12.689082224238661</c:v>
                </c:pt>
                <c:pt idx="55">
                  <c:v>13.163113083509066</c:v>
                </c:pt>
                <c:pt idx="56">
                  <c:v>13.663075145278764</c:v>
                </c:pt>
                <c:pt idx="57">
                  <c:v>14.192379165807372</c:v>
                </c:pt>
                <c:pt idx="58">
                  <c:v>14.755185791641221</c:v>
                </c:pt>
                <c:pt idx="59">
                  <c:v>15.35664742611913</c:v>
                </c:pt>
                <c:pt idx="60">
                  <c:v>16.003257343655957</c:v>
                </c:pt>
                <c:pt idx="61">
                  <c:v>16.703369088862967</c:v>
                </c:pt>
                <c:pt idx="62">
                  <c:v>17.467997365158443</c:v>
                </c:pt>
                <c:pt idx="63">
                  <c:v>18.31210697840422</c:v>
                </c:pt>
                <c:pt idx="64">
                  <c:v>19.256798736813845</c:v>
                </c:pt>
                <c:pt idx="65">
                  <c:v>20.33326701162764</c:v>
                </c:pt>
                <c:pt idx="66">
                  <c:v>21.590594671755994</c:v>
                </c:pt>
                <c:pt idx="67">
                  <c:v>23.112941680835878</c:v>
                </c:pt>
                <c:pt idx="68">
                  <c:v>25.064036500982173</c:v>
                </c:pt>
                <c:pt idx="69">
                  <c:v>27.834891066745264</c:v>
                </c:pt>
                <c:pt idx="70">
                  <c:v>32.820020416627003</c:v>
                </c:pt>
                <c:pt idx="71">
                  <c:v>61.290991034246758</c:v>
                </c:pt>
                <c:pt idx="72">
                  <c:v>69.797015944939318</c:v>
                </c:pt>
                <c:pt idx="73">
                  <c:v>73.34472252830335</c:v>
                </c:pt>
                <c:pt idx="74">
                  <c:v>75.62925880749664</c:v>
                </c:pt>
                <c:pt idx="75">
                  <c:v>77.337136088357909</c:v>
                </c:pt>
                <c:pt idx="76">
                  <c:v>78.713083962663518</c:v>
                </c:pt>
                <c:pt idx="77">
                  <c:v>79.87223545863101</c:v>
                </c:pt>
                <c:pt idx="78">
                  <c:v>80.878049500843801</c:v>
                </c:pt>
                <c:pt idx="79">
                  <c:v>81.769304755278981</c:v>
                </c:pt>
                <c:pt idx="80">
                  <c:v>82.57148559213617</c:v>
                </c:pt>
                <c:pt idx="81">
                  <c:v>83.30226988363988</c:v>
                </c:pt>
                <c:pt idx="82">
                  <c:v>83.974443348655626</c:v>
                </c:pt>
                <c:pt idx="83">
                  <c:v>84.597565964904504</c:v>
                </c:pt>
                <c:pt idx="84">
                  <c:v>85.178982026079225</c:v>
                </c:pt>
                <c:pt idx="85">
                  <c:v>85.724461979963138</c:v>
                </c:pt>
                <c:pt idx="86">
                  <c:v>86.238626519089166</c:v>
                </c:pt>
                <c:pt idx="87">
                  <c:v>86.725236148474352</c:v>
                </c:pt>
                <c:pt idx="88">
                  <c:v>87.18739452275004</c:v>
                </c:pt>
                <c:pt idx="89">
                  <c:v>87.627694718602584</c:v>
                </c:pt>
                <c:pt idx="90">
                  <c:v>88.048326704888041</c:v>
                </c:pt>
                <c:pt idx="91">
                  <c:v>88.451157781628837</c:v>
                </c:pt>
                <c:pt idx="92">
                  <c:v>88.83779377330265</c:v>
                </c:pt>
                <c:pt idx="93">
                  <c:v>89.209626287204784</c:v>
                </c:pt>
                <c:pt idx="94">
                  <c:v>89.567869679234306</c:v>
                </c:pt>
                <c:pt idx="95">
                  <c:v>89.913590324650684</c:v>
                </c:pt>
                <c:pt idx="96">
                  <c:v>90.247730041186642</c:v>
                </c:pt>
                <c:pt idx="97">
                  <c:v>90.571125020230383</c:v>
                </c:pt>
                <c:pt idx="98">
                  <c:v>90.884521271113002</c:v>
                </c:pt>
                <c:pt idx="99">
                  <c:v>91.188587316008963</c:v>
                </c:pt>
                <c:pt idx="100">
                  <c:v>91.483924713887532</c:v>
                </c:pt>
                <c:pt idx="101">
                  <c:v>91.771076836497727</c:v>
                </c:pt>
                <c:pt idx="102">
                  <c:v>92.050536252487419</c:v>
                </c:pt>
                <c:pt idx="103">
                  <c:v>92.322750954647006</c:v>
                </c:pt>
                <c:pt idx="104">
                  <c:v>92.588129661652715</c:v>
                </c:pt>
                <c:pt idx="105">
                  <c:v>92.847046344341877</c:v>
                </c:pt>
                <c:pt idx="106">
                  <c:v>93.099844113898953</c:v>
                </c:pt>
                <c:pt idx="107">
                  <c:v>93.34683857860206</c:v>
                </c:pt>
                <c:pt idx="108">
                  <c:v>93.588320746857249</c:v>
                </c:pt>
                <c:pt idx="109">
                  <c:v>93.824559559671243</c:v>
                </c:pt>
                <c:pt idx="110">
                  <c:v>94.055804101368111</c:v>
                </c:pt>
                <c:pt idx="111">
                  <c:v>94.282285537355662</c:v>
                </c:pt>
                <c:pt idx="112">
                  <c:v>94.504218813286258</c:v>
                </c:pt>
                <c:pt idx="113">
                  <c:v>94.721804168033003</c:v>
                </c:pt>
                <c:pt idx="114">
                  <c:v>94.935228460481298</c:v>
                </c:pt>
                <c:pt idx="115">
                  <c:v>95.144666360749014</c:v>
                </c:pt>
                <c:pt idx="116">
                  <c:v>95.350281394989707</c:v>
                </c:pt>
                <c:pt idx="117">
                  <c:v>95.552226896199528</c:v>
                </c:pt>
                <c:pt idx="118">
                  <c:v>95.750646844759601</c:v>
                </c:pt>
                <c:pt idx="119">
                  <c:v>95.945676624020365</c:v>
                </c:pt>
                <c:pt idx="120">
                  <c:v>96.137443705388634</c:v>
                </c:pt>
                <c:pt idx="121">
                  <c:v>96.326068259302545</c:v>
                </c:pt>
                <c:pt idx="122">
                  <c:v>96.51166371197786</c:v>
                </c:pt>
                <c:pt idx="123">
                  <c:v>96.694337251540915</c:v>
                </c:pt>
                <c:pt idx="124">
                  <c:v>96.87419028354843</c:v>
                </c:pt>
                <c:pt idx="125">
                  <c:v>97.051318841316686</c:v>
                </c:pt>
                <c:pt idx="126">
                  <c:v>97.22581397275178</c:v>
                </c:pt>
                <c:pt idx="127">
                  <c:v>97.3977620783742</c:v>
                </c:pt>
                <c:pt idx="128">
                  <c:v>97.567245231267208</c:v>
                </c:pt>
                <c:pt idx="129">
                  <c:v>97.734341464488011</c:v>
                </c:pt>
                <c:pt idx="130">
                  <c:v>97.899125036787609</c:v>
                </c:pt>
                <c:pt idx="131">
                  <c:v>98.061666674831699</c:v>
                </c:pt>
                <c:pt idx="132">
                  <c:v>98.222033800960418</c:v>
                </c:pt>
                <c:pt idx="133">
                  <c:v>98.380290732026339</c:v>
                </c:pt>
                <c:pt idx="134">
                  <c:v>98.536498880040028</c:v>
                </c:pt>
                <c:pt idx="135">
                  <c:v>98.69071691847104</c:v>
                </c:pt>
                <c:pt idx="136">
                  <c:v>98.843000948548536</c:v>
                </c:pt>
                <c:pt idx="137">
                  <c:v>98.993404652908978</c:v>
                </c:pt>
                <c:pt idx="138">
                  <c:v>99.141979431167428</c:v>
                </c:pt>
                <c:pt idx="139">
                  <c:v>99.288774531873642</c:v>
                </c:pt>
                <c:pt idx="140">
                  <c:v>99.433837170007195</c:v>
                </c:pt>
                <c:pt idx="141">
                  <c:v>99.57721264085751</c:v>
                </c:pt>
                <c:pt idx="142">
                  <c:v>99.71894442667319</c:v>
                </c:pt>
                <c:pt idx="143">
                  <c:v>99.859074290658285</c:v>
                </c:pt>
                <c:pt idx="144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29-4FB4-956E-27E806D59F04}"/>
            </c:ext>
          </c:extLst>
        </c:ser>
        <c:ser>
          <c:idx val="2"/>
          <c:order val="2"/>
          <c:tx>
            <c:strRef>
              <c:f>'FM 10 min precipitation'!$D$3</c:f>
              <c:strCache>
                <c:ptCount val="1"/>
                <c:pt idx="0">
                  <c:v>10-1000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'FM 10 min precipitation'!$A$4:$A$148</c:f>
              <c:numCache>
                <c:formatCode>0.00</c:formatCode>
                <c:ptCount val="145"/>
                <c:pt idx="0">
                  <c:v>0</c:v>
                </c:pt>
                <c:pt idx="1">
                  <c:v>0.69444444444444442</c:v>
                </c:pt>
                <c:pt idx="2">
                  <c:v>1.3888888888888888</c:v>
                </c:pt>
                <c:pt idx="3">
                  <c:v>2.083333333333333</c:v>
                </c:pt>
                <c:pt idx="4">
                  <c:v>2.7777777777777777</c:v>
                </c:pt>
                <c:pt idx="5">
                  <c:v>3.4722222222222223</c:v>
                </c:pt>
                <c:pt idx="6">
                  <c:v>4.1666666666666661</c:v>
                </c:pt>
                <c:pt idx="7">
                  <c:v>4.8611111111111116</c:v>
                </c:pt>
                <c:pt idx="8">
                  <c:v>5.5555555555555554</c:v>
                </c:pt>
                <c:pt idx="9">
                  <c:v>6.25</c:v>
                </c:pt>
                <c:pt idx="10">
                  <c:v>6.9444444444444446</c:v>
                </c:pt>
                <c:pt idx="11">
                  <c:v>7.6388888888888893</c:v>
                </c:pt>
                <c:pt idx="12">
                  <c:v>8.3333333333333321</c:v>
                </c:pt>
                <c:pt idx="13">
                  <c:v>9.0277777777777768</c:v>
                </c:pt>
                <c:pt idx="14">
                  <c:v>9.7222222222222232</c:v>
                </c:pt>
                <c:pt idx="15">
                  <c:v>10.416666666666668</c:v>
                </c:pt>
                <c:pt idx="16">
                  <c:v>11.111111111111111</c:v>
                </c:pt>
                <c:pt idx="17">
                  <c:v>11.805555555555555</c:v>
                </c:pt>
                <c:pt idx="18">
                  <c:v>12.5</c:v>
                </c:pt>
                <c:pt idx="19">
                  <c:v>13.194444444444445</c:v>
                </c:pt>
                <c:pt idx="20">
                  <c:v>13.888888888888889</c:v>
                </c:pt>
                <c:pt idx="21">
                  <c:v>14.583333333333334</c:v>
                </c:pt>
                <c:pt idx="22">
                  <c:v>15.277777777777779</c:v>
                </c:pt>
                <c:pt idx="23">
                  <c:v>15.972222222222221</c:v>
                </c:pt>
                <c:pt idx="24">
                  <c:v>16.666666666666664</c:v>
                </c:pt>
                <c:pt idx="25">
                  <c:v>17.361111111111111</c:v>
                </c:pt>
                <c:pt idx="26">
                  <c:v>18.055555555555554</c:v>
                </c:pt>
                <c:pt idx="27">
                  <c:v>18.75</c:v>
                </c:pt>
                <c:pt idx="28">
                  <c:v>19.444444444444446</c:v>
                </c:pt>
                <c:pt idx="29">
                  <c:v>20.138888888888889</c:v>
                </c:pt>
                <c:pt idx="30">
                  <c:v>20.833333333333336</c:v>
                </c:pt>
                <c:pt idx="31">
                  <c:v>21.527777777777779</c:v>
                </c:pt>
                <c:pt idx="32">
                  <c:v>22.222222222222221</c:v>
                </c:pt>
                <c:pt idx="33">
                  <c:v>22.916666666666664</c:v>
                </c:pt>
                <c:pt idx="34">
                  <c:v>23.611111111111111</c:v>
                </c:pt>
                <c:pt idx="35">
                  <c:v>24.305555555555554</c:v>
                </c:pt>
                <c:pt idx="36">
                  <c:v>25</c:v>
                </c:pt>
                <c:pt idx="37">
                  <c:v>25.694444444444443</c:v>
                </c:pt>
                <c:pt idx="38">
                  <c:v>26.388888888888889</c:v>
                </c:pt>
                <c:pt idx="39">
                  <c:v>27.083333333333332</c:v>
                </c:pt>
                <c:pt idx="40">
                  <c:v>27.777777777777779</c:v>
                </c:pt>
                <c:pt idx="41">
                  <c:v>28.472222222222221</c:v>
                </c:pt>
                <c:pt idx="42">
                  <c:v>29.166666666666668</c:v>
                </c:pt>
                <c:pt idx="43">
                  <c:v>29.861111111111111</c:v>
                </c:pt>
                <c:pt idx="44">
                  <c:v>30.555555555555557</c:v>
                </c:pt>
                <c:pt idx="45">
                  <c:v>31.25</c:v>
                </c:pt>
                <c:pt idx="46">
                  <c:v>31.944444444444443</c:v>
                </c:pt>
                <c:pt idx="47">
                  <c:v>32.638888888888893</c:v>
                </c:pt>
                <c:pt idx="48">
                  <c:v>33.333333333333329</c:v>
                </c:pt>
                <c:pt idx="49">
                  <c:v>34.027777777777779</c:v>
                </c:pt>
                <c:pt idx="50">
                  <c:v>34.722222222222221</c:v>
                </c:pt>
                <c:pt idx="51">
                  <c:v>35.416666666666671</c:v>
                </c:pt>
                <c:pt idx="52">
                  <c:v>36.111111111111107</c:v>
                </c:pt>
                <c:pt idx="53">
                  <c:v>36.805555555555557</c:v>
                </c:pt>
                <c:pt idx="54">
                  <c:v>37.5</c:v>
                </c:pt>
                <c:pt idx="55">
                  <c:v>38.194444444444443</c:v>
                </c:pt>
                <c:pt idx="56">
                  <c:v>38.888888888888893</c:v>
                </c:pt>
                <c:pt idx="57">
                  <c:v>39.583333333333329</c:v>
                </c:pt>
                <c:pt idx="58">
                  <c:v>40.277777777777779</c:v>
                </c:pt>
                <c:pt idx="59">
                  <c:v>40.972222222222221</c:v>
                </c:pt>
                <c:pt idx="60">
                  <c:v>41.666666666666671</c:v>
                </c:pt>
                <c:pt idx="61">
                  <c:v>42.361111111111107</c:v>
                </c:pt>
                <c:pt idx="62">
                  <c:v>43.055555555555557</c:v>
                </c:pt>
                <c:pt idx="63">
                  <c:v>43.75</c:v>
                </c:pt>
                <c:pt idx="64">
                  <c:v>44.444444444444443</c:v>
                </c:pt>
                <c:pt idx="65">
                  <c:v>45.138888888888893</c:v>
                </c:pt>
                <c:pt idx="66">
                  <c:v>45.833333333333329</c:v>
                </c:pt>
                <c:pt idx="67">
                  <c:v>46.527777777777779</c:v>
                </c:pt>
                <c:pt idx="68">
                  <c:v>47.222222222222221</c:v>
                </c:pt>
                <c:pt idx="69">
                  <c:v>47.916666666666671</c:v>
                </c:pt>
                <c:pt idx="70">
                  <c:v>48.611111111111107</c:v>
                </c:pt>
                <c:pt idx="71">
                  <c:v>49.305555555555557</c:v>
                </c:pt>
                <c:pt idx="72">
                  <c:v>50</c:v>
                </c:pt>
                <c:pt idx="73">
                  <c:v>50.694444444444443</c:v>
                </c:pt>
                <c:pt idx="74">
                  <c:v>51.388888888888886</c:v>
                </c:pt>
                <c:pt idx="75">
                  <c:v>52.083333333333336</c:v>
                </c:pt>
                <c:pt idx="76">
                  <c:v>52.777777777777779</c:v>
                </c:pt>
                <c:pt idx="77">
                  <c:v>53.472222222222221</c:v>
                </c:pt>
                <c:pt idx="78">
                  <c:v>54.166666666666664</c:v>
                </c:pt>
                <c:pt idx="79">
                  <c:v>54.861111111111114</c:v>
                </c:pt>
                <c:pt idx="80">
                  <c:v>55.555555555555557</c:v>
                </c:pt>
                <c:pt idx="81">
                  <c:v>56.25</c:v>
                </c:pt>
                <c:pt idx="82">
                  <c:v>56.944444444444443</c:v>
                </c:pt>
                <c:pt idx="83">
                  <c:v>57.638888888888886</c:v>
                </c:pt>
                <c:pt idx="84">
                  <c:v>58.333333333333336</c:v>
                </c:pt>
                <c:pt idx="85">
                  <c:v>59.027777777777779</c:v>
                </c:pt>
                <c:pt idx="86">
                  <c:v>59.722222222222221</c:v>
                </c:pt>
                <c:pt idx="87">
                  <c:v>60.416666666666664</c:v>
                </c:pt>
                <c:pt idx="88">
                  <c:v>61.111111111111114</c:v>
                </c:pt>
                <c:pt idx="89">
                  <c:v>61.805555555555557</c:v>
                </c:pt>
                <c:pt idx="90">
                  <c:v>62.5</c:v>
                </c:pt>
                <c:pt idx="91">
                  <c:v>63.194444444444443</c:v>
                </c:pt>
                <c:pt idx="92">
                  <c:v>63.888888888888886</c:v>
                </c:pt>
                <c:pt idx="93">
                  <c:v>64.583333333333343</c:v>
                </c:pt>
                <c:pt idx="94">
                  <c:v>65.277777777777786</c:v>
                </c:pt>
                <c:pt idx="95">
                  <c:v>65.972222222222214</c:v>
                </c:pt>
                <c:pt idx="96">
                  <c:v>66.666666666666657</c:v>
                </c:pt>
                <c:pt idx="97">
                  <c:v>67.361111111111114</c:v>
                </c:pt>
                <c:pt idx="98">
                  <c:v>68.055555555555557</c:v>
                </c:pt>
                <c:pt idx="99">
                  <c:v>68.75</c:v>
                </c:pt>
                <c:pt idx="100">
                  <c:v>69.444444444444443</c:v>
                </c:pt>
                <c:pt idx="101">
                  <c:v>70.138888888888886</c:v>
                </c:pt>
                <c:pt idx="102">
                  <c:v>70.833333333333343</c:v>
                </c:pt>
                <c:pt idx="103">
                  <c:v>71.527777777777786</c:v>
                </c:pt>
                <c:pt idx="104">
                  <c:v>72.222222222222214</c:v>
                </c:pt>
                <c:pt idx="105">
                  <c:v>72.916666666666657</c:v>
                </c:pt>
                <c:pt idx="106">
                  <c:v>73.611111111111114</c:v>
                </c:pt>
                <c:pt idx="107">
                  <c:v>74.305555555555557</c:v>
                </c:pt>
                <c:pt idx="108">
                  <c:v>75</c:v>
                </c:pt>
                <c:pt idx="109">
                  <c:v>75.694444444444443</c:v>
                </c:pt>
                <c:pt idx="110">
                  <c:v>76.388888888888886</c:v>
                </c:pt>
                <c:pt idx="111">
                  <c:v>77.083333333333343</c:v>
                </c:pt>
                <c:pt idx="112">
                  <c:v>77.777777777777786</c:v>
                </c:pt>
                <c:pt idx="113">
                  <c:v>78.472222222222214</c:v>
                </c:pt>
                <c:pt idx="114">
                  <c:v>79.166666666666657</c:v>
                </c:pt>
                <c:pt idx="115">
                  <c:v>79.861111111111114</c:v>
                </c:pt>
                <c:pt idx="116">
                  <c:v>80.555555555555557</c:v>
                </c:pt>
                <c:pt idx="117">
                  <c:v>81.25</c:v>
                </c:pt>
                <c:pt idx="118">
                  <c:v>81.944444444444443</c:v>
                </c:pt>
                <c:pt idx="119">
                  <c:v>82.638888888888886</c:v>
                </c:pt>
                <c:pt idx="120">
                  <c:v>83.333333333333343</c:v>
                </c:pt>
                <c:pt idx="121">
                  <c:v>84.027777777777786</c:v>
                </c:pt>
                <c:pt idx="122">
                  <c:v>84.722222222222214</c:v>
                </c:pt>
                <c:pt idx="123">
                  <c:v>85.416666666666657</c:v>
                </c:pt>
                <c:pt idx="124">
                  <c:v>86.111111111111114</c:v>
                </c:pt>
                <c:pt idx="125">
                  <c:v>86.805555555555557</c:v>
                </c:pt>
                <c:pt idx="126">
                  <c:v>87.5</c:v>
                </c:pt>
                <c:pt idx="127">
                  <c:v>88.194444444444443</c:v>
                </c:pt>
                <c:pt idx="128">
                  <c:v>88.888888888888886</c:v>
                </c:pt>
                <c:pt idx="129">
                  <c:v>89.583333333333343</c:v>
                </c:pt>
                <c:pt idx="130">
                  <c:v>90.277777777777786</c:v>
                </c:pt>
                <c:pt idx="131">
                  <c:v>90.972222222222214</c:v>
                </c:pt>
                <c:pt idx="132">
                  <c:v>91.666666666666657</c:v>
                </c:pt>
                <c:pt idx="133">
                  <c:v>92.361111111111114</c:v>
                </c:pt>
                <c:pt idx="134">
                  <c:v>93.055555555555557</c:v>
                </c:pt>
                <c:pt idx="135">
                  <c:v>93.75</c:v>
                </c:pt>
                <c:pt idx="136">
                  <c:v>94.444444444444443</c:v>
                </c:pt>
                <c:pt idx="137">
                  <c:v>95.138888888888886</c:v>
                </c:pt>
                <c:pt idx="138">
                  <c:v>95.833333333333343</c:v>
                </c:pt>
                <c:pt idx="139">
                  <c:v>96.527777777777786</c:v>
                </c:pt>
                <c:pt idx="140">
                  <c:v>97.222222222222214</c:v>
                </c:pt>
                <c:pt idx="141">
                  <c:v>97.916666666666657</c:v>
                </c:pt>
                <c:pt idx="142">
                  <c:v>98.611111111111114</c:v>
                </c:pt>
                <c:pt idx="143">
                  <c:v>99.305555555555557</c:v>
                </c:pt>
                <c:pt idx="144">
                  <c:v>100</c:v>
                </c:pt>
              </c:numCache>
            </c:numRef>
          </c:xVal>
          <c:yVal>
            <c:numRef>
              <c:f>'FM 10 min precipitation'!$D$4:$D$148</c:f>
              <c:numCache>
                <c:formatCode>0.00</c:formatCode>
                <c:ptCount val="145"/>
                <c:pt idx="0">
                  <c:v>0</c:v>
                </c:pt>
                <c:pt idx="1">
                  <c:v>0.16209306762160916</c:v>
                </c:pt>
                <c:pt idx="2">
                  <c:v>0.32606615448409204</c:v>
                </c:pt>
                <c:pt idx="3">
                  <c:v>0.49196973259501714</c:v>
                </c:pt>
                <c:pt idx="4">
                  <c:v>0.65985641958117247</c:v>
                </c:pt>
                <c:pt idx="5">
                  <c:v>0.82978110445283015</c:v>
                </c:pt>
                <c:pt idx="6">
                  <c:v>1.0018010828221182</c:v>
                </c:pt>
                <c:pt idx="7">
                  <c:v>1.1759762024484837</c:v>
                </c:pt>
                <c:pt idx="8">
                  <c:v>1.3523690200788192</c:v>
                </c:pt>
                <c:pt idx="9">
                  <c:v>1.5310449706577558</c:v>
                </c:pt>
                <c:pt idx="10">
                  <c:v>1.7120725501060066</c:v>
                </c:pt>
                <c:pt idx="11">
                  <c:v>1.8955235130029353</c:v>
                </c:pt>
                <c:pt idx="12">
                  <c:v>2.0814730866650746</c:v>
                </c:pt>
                <c:pt idx="13">
                  <c:v>2.2700002032935021</c:v>
                </c:pt>
                <c:pt idx="14">
                  <c:v>2.4611877520605741</c:v>
                </c:pt>
                <c:pt idx="15">
                  <c:v>2.655122853245234</c:v>
                </c:pt>
                <c:pt idx="16">
                  <c:v>2.8518971567846814</c:v>
                </c:pt>
                <c:pt idx="17">
                  <c:v>3.051607167918656</c:v>
                </c:pt>
                <c:pt idx="18">
                  <c:v>3.2543546029510408</c:v>
                </c:pt>
                <c:pt idx="19">
                  <c:v>3.4602467785560185</c:v>
                </c:pt>
                <c:pt idx="20">
                  <c:v>3.6693970385230319</c:v>
                </c:pt>
                <c:pt idx="21">
                  <c:v>3.8819252223740559</c:v>
                </c:pt>
                <c:pt idx="22">
                  <c:v>4.0979581809145857</c:v>
                </c:pt>
                <c:pt idx="23">
                  <c:v>4.3176303445111532</c:v>
                </c:pt>
                <c:pt idx="24">
                  <c:v>4.5410843507431773</c:v>
                </c:pt>
                <c:pt idx="25">
                  <c:v>4.7684717390808613</c:v>
                </c:pt>
                <c:pt idx="26">
                  <c:v>4.9999537214186951</c:v>
                </c:pt>
                <c:pt idx="27">
                  <c:v>5.2357020386908388</c:v>
                </c:pt>
                <c:pt idx="28">
                  <c:v>5.4758999154431054</c:v>
                </c:pt>
                <c:pt idx="29">
                  <c:v>5.7207431262016382</c:v>
                </c:pt>
                <c:pt idx="30">
                  <c:v>5.9704411898239602</c:v>
                </c:pt>
                <c:pt idx="31">
                  <c:v>6.225218710827189</c:v>
                </c:pt>
                <c:pt idx="32">
                  <c:v>6.485316890077228</c:v>
                </c:pt>
                <c:pt idx="33">
                  <c:v>6.7509952313145316</c:v>
                </c:pt>
                <c:pt idx="34">
                  <c:v>7.0225334749687356</c:v>
                </c:pt>
                <c:pt idx="35">
                  <c:v>7.3002337967898612</c:v>
                </c:pt>
                <c:pt idx="36">
                  <c:v>7.5844233162828578</c:v>
                </c:pt>
                <c:pt idx="37">
                  <c:v>7.8754569691369127</c:v>
                </c:pt>
                <c:pt idx="38">
                  <c:v>8.1737208092682518</c:v>
                </c:pt>
                <c:pt idx="39">
                  <c:v>8.4796358203667861</c:v>
                </c:pt>
                <c:pt idx="40">
                  <c:v>8.7936623347756129</c:v>
                </c:pt>
                <c:pt idx="41">
                  <c:v>9.1163051802354236</c:v>
                </c:pt>
                <c:pt idx="42">
                  <c:v>9.4481197039637195</c:v>
                </c:pt>
                <c:pt idx="43">
                  <c:v>9.7897188607143342</c:v>
                </c:pt>
                <c:pt idx="44">
                  <c:v>10.14178159960224</c:v>
                </c:pt>
                <c:pt idx="45">
                  <c:v>10.505062847373157</c:v>
                </c:pt>
                <c:pt idx="46">
                  <c:v>10.880405468726197</c:v>
                </c:pt>
                <c:pt idx="47">
                  <c:v>11.268754694751285</c:v>
                </c:pt>
                <c:pt idx="48">
                  <c:v>11.67117565923345</c:v>
                </c:pt>
                <c:pt idx="49">
                  <c:v>12.088874885070657</c:v>
                </c:pt>
                <c:pt idx="50">
                  <c:v>12.523226842283744</c:v>
                </c:pt>
                <c:pt idx="51">
                  <c:v>12.975807089386333</c:v>
                </c:pt>
                <c:pt idx="52">
                  <c:v>13.448434063482498</c:v>
                </c:pt>
                <c:pt idx="53">
                  <c:v>13.943222382407091</c:v>
                </c:pt>
                <c:pt idx="54">
                  <c:v>14.462651692775101</c:v>
                </c:pt>
                <c:pt idx="55">
                  <c:v>15.009656848507689</c:v>
                </c:pt>
                <c:pt idx="56">
                  <c:v>15.587747879445365</c:v>
                </c:pt>
                <c:pt idx="57">
                  <c:v>16.201172395580073</c:v>
                </c:pt>
                <c:pt idx="58">
                  <c:v>16.855139799435541</c:v>
                </c:pt>
                <c:pt idx="59">
                  <c:v>17.556137819257415</c:v>
                </c:pt>
                <c:pt idx="60">
                  <c:v>18.3123909639665</c:v>
                </c:pt>
                <c:pt idx="61">
                  <c:v>19.134544511493175</c:v>
                </c:pt>
                <c:pt idx="62">
                  <c:v>20.036721046818343</c:v>
                </c:pt>
                <c:pt idx="63">
                  <c:v>21.038221214174001</c:v>
                </c:pt>
                <c:pt idx="64">
                  <c:v>22.166401387951989</c:v>
                </c:pt>
                <c:pt idx="65">
                  <c:v>23.461851220834088</c:v>
                </c:pt>
                <c:pt idx="66">
                  <c:v>24.988462100126643</c:v>
                </c:pt>
                <c:pt idx="67">
                  <c:v>26.855103076372057</c:v>
                </c:pt>
                <c:pt idx="68">
                  <c:v>29.269272258803998</c:v>
                </c:pt>
                <c:pt idx="69">
                  <c:v>32.700148128164749</c:v>
                </c:pt>
                <c:pt idx="70">
                  <c:v>38.575160481631102</c:v>
                </c:pt>
                <c:pt idx="71">
                  <c:v>55.549247931303533</c:v>
                </c:pt>
                <c:pt idx="72">
                  <c:v>64.453689462027171</c:v>
                </c:pt>
                <c:pt idx="73">
                  <c:v>68.794999824396541</c:v>
                </c:pt>
                <c:pt idx="74">
                  <c:v>71.628691497656106</c:v>
                </c:pt>
                <c:pt idx="75">
                  <c:v>73.733029345321341</c:v>
                </c:pt>
                <c:pt idx="76">
                  <c:v>75.411779885194051</c:v>
                </c:pt>
                <c:pt idx="77">
                  <c:v>76.812737597105368</c:v>
                </c:pt>
                <c:pt idx="78">
                  <c:v>78.01834513675486</c:v>
                </c:pt>
                <c:pt idx="79">
                  <c:v>79.079099066019339</c:v>
                </c:pt>
                <c:pt idx="80">
                  <c:v>80.028108094449578</c:v>
                </c:pt>
                <c:pt idx="81">
                  <c:v>80.888234307137282</c:v>
                </c:pt>
                <c:pt idx="82">
                  <c:v>81.675920216155077</c:v>
                </c:pt>
                <c:pt idx="83">
                  <c:v>82.403385901692744</c:v>
                </c:pt>
                <c:pt idx="84">
                  <c:v>83.079961966101948</c:v>
                </c:pt>
                <c:pt idx="85">
                  <c:v>83.712935633239354</c:v>
                </c:pt>
                <c:pt idx="86">
                  <c:v>84.308108495846284</c:v>
                </c:pt>
                <c:pt idx="87">
                  <c:v>84.870176151627959</c:v>
                </c:pt>
                <c:pt idx="88">
                  <c:v>85.402993813776106</c:v>
                </c:pt>
                <c:pt idx="89">
                  <c:v>85.909766635298752</c:v>
                </c:pt>
                <c:pt idx="90">
                  <c:v>86.393188970322981</c:v>
                </c:pt>
                <c:pt idx="91">
                  <c:v>86.855548173226865</c:v>
                </c:pt>
                <c:pt idx="92">
                  <c:v>87.298803248666516</c:v>
                </c:pt>
                <c:pt idx="93">
                  <c:v>87.724645329793645</c:v>
                </c:pt>
                <c:pt idx="94">
                  <c:v>88.134544803973938</c:v>
                </c:pt>
                <c:pt idx="95">
                  <c:v>88.529788477417952</c:v>
                </c:pt>
                <c:pt idx="96">
                  <c:v>88.911509205902533</c:v>
                </c:pt>
                <c:pt idx="97">
                  <c:v>89.280709755513882</c:v>
                </c:pt>
                <c:pt idx="98">
                  <c:v>89.638282193408372</c:v>
                </c:pt>
                <c:pt idx="99">
                  <c:v>89.985023779043914</c:v>
                </c:pt>
                <c:pt idx="100">
                  <c:v>90.321650088934845</c:v>
                </c:pt>
                <c:pt idx="101">
                  <c:v>90.648805934720187</c:v>
                </c:pt>
                <c:pt idx="102">
                  <c:v>90.967074506361968</c:v>
                </c:pt>
                <c:pt idx="103">
                  <c:v>91.276985076707845</c:v>
                </c:pt>
                <c:pt idx="104">
                  <c:v>91.579019531516167</c:v>
                </c:pt>
                <c:pt idx="105">
                  <c:v>91.873617934081381</c:v>
                </c:pt>
                <c:pt idx="106">
                  <c:v>92.161183291337579</c:v>
                </c:pt>
                <c:pt idx="107">
                  <c:v>92.442085655550414</c:v>
                </c:pt>
                <c:pt idx="108">
                  <c:v>92.716665670101918</c:v>
                </c:pt>
                <c:pt idx="109">
                  <c:v>92.985237647707436</c:v>
                </c:pt>
                <c:pt idx="110">
                  <c:v>93.248092253417752</c:v>
                </c:pt>
                <c:pt idx="111">
                  <c:v>93.505498851999576</c:v>
                </c:pt>
                <c:pt idx="112">
                  <c:v>93.757707569037279</c:v>
                </c:pt>
                <c:pt idx="113">
                  <c:v>94.004951106820585</c:v>
                </c:pt>
                <c:pt idx="114">
                  <c:v>94.247446349354178</c:v>
                </c:pt>
                <c:pt idx="115">
                  <c:v>94.485395785331775</c:v>
                </c:pt>
                <c:pt idx="116">
                  <c:v>94.718988773404249</c:v>
                </c:pt>
                <c:pt idx="117">
                  <c:v>94.948402670352607</c:v>
                </c:pt>
                <c:pt idx="118">
                  <c:v>95.173803839691701</c:v>
                </c:pt>
                <c:pt idx="119">
                  <c:v>95.395348555664555</c:v>
                </c:pt>
                <c:pt idx="120">
                  <c:v>95.613183815442468</c:v>
                </c:pt>
                <c:pt idx="121">
                  <c:v>95.827448070545046</c:v>
                </c:pt>
                <c:pt idx="122">
                  <c:v>96.038271886979587</c:v>
                </c:pt>
                <c:pt idx="123">
                  <c:v>96.245778542315506</c:v>
                </c:pt>
                <c:pt idx="124">
                  <c:v>96.450084566824728</c:v>
                </c:pt>
                <c:pt idx="125">
                  <c:v>96.651300234889618</c:v>
                </c:pt>
                <c:pt idx="126">
                  <c:v>96.849530012093354</c:v>
                </c:pt>
                <c:pt idx="127">
                  <c:v>97.044872962726458</c:v>
                </c:pt>
                <c:pt idx="128">
                  <c:v>97.237423121864765</c:v>
                </c:pt>
                <c:pt idx="129">
                  <c:v>97.427269835670629</c:v>
                </c:pt>
                <c:pt idx="130">
                  <c:v>97.614498073135863</c:v>
                </c:pt>
                <c:pt idx="131">
                  <c:v>97.799188712110436</c:v>
                </c:pt>
                <c:pt idx="132">
                  <c:v>97.981418802135082</c:v>
                </c:pt>
                <c:pt idx="133">
                  <c:v>98.161261806310151</c:v>
                </c:pt>
                <c:pt idx="134">
                  <c:v>98.338787824187406</c:v>
                </c:pt>
                <c:pt idx="135">
                  <c:v>98.514063797453801</c:v>
                </c:pt>
                <c:pt idx="136">
                  <c:v>98.687153699985259</c:v>
                </c:pt>
                <c:pt idx="137">
                  <c:v>98.858118713683524</c:v>
                </c:pt>
                <c:pt idx="138">
                  <c:v>99.027017391359209</c:v>
                </c:pt>
                <c:pt idx="139">
                  <c:v>99.193905807797236</c:v>
                </c:pt>
                <c:pt idx="140">
                  <c:v>99.35883770002421</c:v>
                </c:pt>
                <c:pt idx="141">
                  <c:v>99.521864597695966</c:v>
                </c:pt>
                <c:pt idx="142">
                  <c:v>99.683035944434394</c:v>
                </c:pt>
                <c:pt idx="143">
                  <c:v>99.84239921086025</c:v>
                </c:pt>
                <c:pt idx="144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29-4FB4-956E-27E806D59F04}"/>
            </c:ext>
          </c:extLst>
        </c:ser>
        <c:ser>
          <c:idx val="3"/>
          <c:order val="3"/>
          <c:tx>
            <c:strRef>
              <c:f>'FM 10 min precipitation'!$E$3</c:f>
              <c:strCache>
                <c:ptCount val="1"/>
                <c:pt idx="0">
                  <c:v>2000-10000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'FM 10 min precipitation'!$A$4:$A$148</c:f>
              <c:numCache>
                <c:formatCode>0.00</c:formatCode>
                <c:ptCount val="145"/>
                <c:pt idx="0">
                  <c:v>0</c:v>
                </c:pt>
                <c:pt idx="1">
                  <c:v>0.69444444444444442</c:v>
                </c:pt>
                <c:pt idx="2">
                  <c:v>1.3888888888888888</c:v>
                </c:pt>
                <c:pt idx="3">
                  <c:v>2.083333333333333</c:v>
                </c:pt>
                <c:pt idx="4">
                  <c:v>2.7777777777777777</c:v>
                </c:pt>
                <c:pt idx="5">
                  <c:v>3.4722222222222223</c:v>
                </c:pt>
                <c:pt idx="6">
                  <c:v>4.1666666666666661</c:v>
                </c:pt>
                <c:pt idx="7">
                  <c:v>4.8611111111111116</c:v>
                </c:pt>
                <c:pt idx="8">
                  <c:v>5.5555555555555554</c:v>
                </c:pt>
                <c:pt idx="9">
                  <c:v>6.25</c:v>
                </c:pt>
                <c:pt idx="10">
                  <c:v>6.9444444444444446</c:v>
                </c:pt>
                <c:pt idx="11">
                  <c:v>7.6388888888888893</c:v>
                </c:pt>
                <c:pt idx="12">
                  <c:v>8.3333333333333321</c:v>
                </c:pt>
                <c:pt idx="13">
                  <c:v>9.0277777777777768</c:v>
                </c:pt>
                <c:pt idx="14">
                  <c:v>9.7222222222222232</c:v>
                </c:pt>
                <c:pt idx="15">
                  <c:v>10.416666666666668</c:v>
                </c:pt>
                <c:pt idx="16">
                  <c:v>11.111111111111111</c:v>
                </c:pt>
                <c:pt idx="17">
                  <c:v>11.805555555555555</c:v>
                </c:pt>
                <c:pt idx="18">
                  <c:v>12.5</c:v>
                </c:pt>
                <c:pt idx="19">
                  <c:v>13.194444444444445</c:v>
                </c:pt>
                <c:pt idx="20">
                  <c:v>13.888888888888889</c:v>
                </c:pt>
                <c:pt idx="21">
                  <c:v>14.583333333333334</c:v>
                </c:pt>
                <c:pt idx="22">
                  <c:v>15.277777777777779</c:v>
                </c:pt>
                <c:pt idx="23">
                  <c:v>15.972222222222221</c:v>
                </c:pt>
                <c:pt idx="24">
                  <c:v>16.666666666666664</c:v>
                </c:pt>
                <c:pt idx="25">
                  <c:v>17.361111111111111</c:v>
                </c:pt>
                <c:pt idx="26">
                  <c:v>18.055555555555554</c:v>
                </c:pt>
                <c:pt idx="27">
                  <c:v>18.75</c:v>
                </c:pt>
                <c:pt idx="28">
                  <c:v>19.444444444444446</c:v>
                </c:pt>
                <c:pt idx="29">
                  <c:v>20.138888888888889</c:v>
                </c:pt>
                <c:pt idx="30">
                  <c:v>20.833333333333336</c:v>
                </c:pt>
                <c:pt idx="31">
                  <c:v>21.527777777777779</c:v>
                </c:pt>
                <c:pt idx="32">
                  <c:v>22.222222222222221</c:v>
                </c:pt>
                <c:pt idx="33">
                  <c:v>22.916666666666664</c:v>
                </c:pt>
                <c:pt idx="34">
                  <c:v>23.611111111111111</c:v>
                </c:pt>
                <c:pt idx="35">
                  <c:v>24.305555555555554</c:v>
                </c:pt>
                <c:pt idx="36">
                  <c:v>25</c:v>
                </c:pt>
                <c:pt idx="37">
                  <c:v>25.694444444444443</c:v>
                </c:pt>
                <c:pt idx="38">
                  <c:v>26.388888888888889</c:v>
                </c:pt>
                <c:pt idx="39">
                  <c:v>27.083333333333332</c:v>
                </c:pt>
                <c:pt idx="40">
                  <c:v>27.777777777777779</c:v>
                </c:pt>
                <c:pt idx="41">
                  <c:v>28.472222222222221</c:v>
                </c:pt>
                <c:pt idx="42">
                  <c:v>29.166666666666668</c:v>
                </c:pt>
                <c:pt idx="43">
                  <c:v>29.861111111111111</c:v>
                </c:pt>
                <c:pt idx="44">
                  <c:v>30.555555555555557</c:v>
                </c:pt>
                <c:pt idx="45">
                  <c:v>31.25</c:v>
                </c:pt>
                <c:pt idx="46">
                  <c:v>31.944444444444443</c:v>
                </c:pt>
                <c:pt idx="47">
                  <c:v>32.638888888888893</c:v>
                </c:pt>
                <c:pt idx="48">
                  <c:v>33.333333333333329</c:v>
                </c:pt>
                <c:pt idx="49">
                  <c:v>34.027777777777779</c:v>
                </c:pt>
                <c:pt idx="50">
                  <c:v>34.722222222222221</c:v>
                </c:pt>
                <c:pt idx="51">
                  <c:v>35.416666666666671</c:v>
                </c:pt>
                <c:pt idx="52">
                  <c:v>36.111111111111107</c:v>
                </c:pt>
                <c:pt idx="53">
                  <c:v>36.805555555555557</c:v>
                </c:pt>
                <c:pt idx="54">
                  <c:v>37.5</c:v>
                </c:pt>
                <c:pt idx="55">
                  <c:v>38.194444444444443</c:v>
                </c:pt>
                <c:pt idx="56">
                  <c:v>38.888888888888893</c:v>
                </c:pt>
                <c:pt idx="57">
                  <c:v>39.583333333333329</c:v>
                </c:pt>
                <c:pt idx="58">
                  <c:v>40.277777777777779</c:v>
                </c:pt>
                <c:pt idx="59">
                  <c:v>40.972222222222221</c:v>
                </c:pt>
                <c:pt idx="60">
                  <c:v>41.666666666666671</c:v>
                </c:pt>
                <c:pt idx="61">
                  <c:v>42.361111111111107</c:v>
                </c:pt>
                <c:pt idx="62">
                  <c:v>43.055555555555557</c:v>
                </c:pt>
                <c:pt idx="63">
                  <c:v>43.75</c:v>
                </c:pt>
                <c:pt idx="64">
                  <c:v>44.444444444444443</c:v>
                </c:pt>
                <c:pt idx="65">
                  <c:v>45.138888888888893</c:v>
                </c:pt>
                <c:pt idx="66">
                  <c:v>45.833333333333329</c:v>
                </c:pt>
                <c:pt idx="67">
                  <c:v>46.527777777777779</c:v>
                </c:pt>
                <c:pt idx="68">
                  <c:v>47.222222222222221</c:v>
                </c:pt>
                <c:pt idx="69">
                  <c:v>47.916666666666671</c:v>
                </c:pt>
                <c:pt idx="70">
                  <c:v>48.611111111111107</c:v>
                </c:pt>
                <c:pt idx="71">
                  <c:v>49.305555555555557</c:v>
                </c:pt>
                <c:pt idx="72">
                  <c:v>50</c:v>
                </c:pt>
                <c:pt idx="73">
                  <c:v>50.694444444444443</c:v>
                </c:pt>
                <c:pt idx="74">
                  <c:v>51.388888888888886</c:v>
                </c:pt>
                <c:pt idx="75">
                  <c:v>52.083333333333336</c:v>
                </c:pt>
                <c:pt idx="76">
                  <c:v>52.777777777777779</c:v>
                </c:pt>
                <c:pt idx="77">
                  <c:v>53.472222222222221</c:v>
                </c:pt>
                <c:pt idx="78">
                  <c:v>54.166666666666664</c:v>
                </c:pt>
                <c:pt idx="79">
                  <c:v>54.861111111111114</c:v>
                </c:pt>
                <c:pt idx="80">
                  <c:v>55.555555555555557</c:v>
                </c:pt>
                <c:pt idx="81">
                  <c:v>56.25</c:v>
                </c:pt>
                <c:pt idx="82">
                  <c:v>56.944444444444443</c:v>
                </c:pt>
                <c:pt idx="83">
                  <c:v>57.638888888888886</c:v>
                </c:pt>
                <c:pt idx="84">
                  <c:v>58.333333333333336</c:v>
                </c:pt>
                <c:pt idx="85">
                  <c:v>59.027777777777779</c:v>
                </c:pt>
                <c:pt idx="86">
                  <c:v>59.722222222222221</c:v>
                </c:pt>
                <c:pt idx="87">
                  <c:v>60.416666666666664</c:v>
                </c:pt>
                <c:pt idx="88">
                  <c:v>61.111111111111114</c:v>
                </c:pt>
                <c:pt idx="89">
                  <c:v>61.805555555555557</c:v>
                </c:pt>
                <c:pt idx="90">
                  <c:v>62.5</c:v>
                </c:pt>
                <c:pt idx="91">
                  <c:v>63.194444444444443</c:v>
                </c:pt>
                <c:pt idx="92">
                  <c:v>63.888888888888886</c:v>
                </c:pt>
                <c:pt idx="93">
                  <c:v>64.583333333333343</c:v>
                </c:pt>
                <c:pt idx="94">
                  <c:v>65.277777777777786</c:v>
                </c:pt>
                <c:pt idx="95">
                  <c:v>65.972222222222214</c:v>
                </c:pt>
                <c:pt idx="96">
                  <c:v>66.666666666666657</c:v>
                </c:pt>
                <c:pt idx="97">
                  <c:v>67.361111111111114</c:v>
                </c:pt>
                <c:pt idx="98">
                  <c:v>68.055555555555557</c:v>
                </c:pt>
                <c:pt idx="99">
                  <c:v>68.75</c:v>
                </c:pt>
                <c:pt idx="100">
                  <c:v>69.444444444444443</c:v>
                </c:pt>
                <c:pt idx="101">
                  <c:v>70.138888888888886</c:v>
                </c:pt>
                <c:pt idx="102">
                  <c:v>70.833333333333343</c:v>
                </c:pt>
                <c:pt idx="103">
                  <c:v>71.527777777777786</c:v>
                </c:pt>
                <c:pt idx="104">
                  <c:v>72.222222222222214</c:v>
                </c:pt>
                <c:pt idx="105">
                  <c:v>72.916666666666657</c:v>
                </c:pt>
                <c:pt idx="106">
                  <c:v>73.611111111111114</c:v>
                </c:pt>
                <c:pt idx="107">
                  <c:v>74.305555555555557</c:v>
                </c:pt>
                <c:pt idx="108">
                  <c:v>75</c:v>
                </c:pt>
                <c:pt idx="109">
                  <c:v>75.694444444444443</c:v>
                </c:pt>
                <c:pt idx="110">
                  <c:v>76.388888888888886</c:v>
                </c:pt>
                <c:pt idx="111">
                  <c:v>77.083333333333343</c:v>
                </c:pt>
                <c:pt idx="112">
                  <c:v>77.777777777777786</c:v>
                </c:pt>
                <c:pt idx="113">
                  <c:v>78.472222222222214</c:v>
                </c:pt>
                <c:pt idx="114">
                  <c:v>79.166666666666657</c:v>
                </c:pt>
                <c:pt idx="115">
                  <c:v>79.861111111111114</c:v>
                </c:pt>
                <c:pt idx="116">
                  <c:v>80.555555555555557</c:v>
                </c:pt>
                <c:pt idx="117">
                  <c:v>81.25</c:v>
                </c:pt>
                <c:pt idx="118">
                  <c:v>81.944444444444443</c:v>
                </c:pt>
                <c:pt idx="119">
                  <c:v>82.638888888888886</c:v>
                </c:pt>
                <c:pt idx="120">
                  <c:v>83.333333333333343</c:v>
                </c:pt>
                <c:pt idx="121">
                  <c:v>84.027777777777786</c:v>
                </c:pt>
                <c:pt idx="122">
                  <c:v>84.722222222222214</c:v>
                </c:pt>
                <c:pt idx="123">
                  <c:v>85.416666666666657</c:v>
                </c:pt>
                <c:pt idx="124">
                  <c:v>86.111111111111114</c:v>
                </c:pt>
                <c:pt idx="125">
                  <c:v>86.805555555555557</c:v>
                </c:pt>
                <c:pt idx="126">
                  <c:v>87.5</c:v>
                </c:pt>
                <c:pt idx="127">
                  <c:v>88.194444444444443</c:v>
                </c:pt>
                <c:pt idx="128">
                  <c:v>88.888888888888886</c:v>
                </c:pt>
                <c:pt idx="129">
                  <c:v>89.583333333333343</c:v>
                </c:pt>
                <c:pt idx="130">
                  <c:v>90.277777777777786</c:v>
                </c:pt>
                <c:pt idx="131">
                  <c:v>90.972222222222214</c:v>
                </c:pt>
                <c:pt idx="132">
                  <c:v>91.666666666666657</c:v>
                </c:pt>
                <c:pt idx="133">
                  <c:v>92.361111111111114</c:v>
                </c:pt>
                <c:pt idx="134">
                  <c:v>93.055555555555557</c:v>
                </c:pt>
                <c:pt idx="135">
                  <c:v>93.75</c:v>
                </c:pt>
                <c:pt idx="136">
                  <c:v>94.444444444444443</c:v>
                </c:pt>
                <c:pt idx="137">
                  <c:v>95.138888888888886</c:v>
                </c:pt>
                <c:pt idx="138">
                  <c:v>95.833333333333343</c:v>
                </c:pt>
                <c:pt idx="139">
                  <c:v>96.527777777777786</c:v>
                </c:pt>
                <c:pt idx="140">
                  <c:v>97.222222222222214</c:v>
                </c:pt>
                <c:pt idx="141">
                  <c:v>97.916666666666657</c:v>
                </c:pt>
                <c:pt idx="142">
                  <c:v>98.611111111111114</c:v>
                </c:pt>
                <c:pt idx="143">
                  <c:v>99.305555555555557</c:v>
                </c:pt>
                <c:pt idx="144">
                  <c:v>100</c:v>
                </c:pt>
              </c:numCache>
            </c:numRef>
          </c:xVal>
          <c:yVal>
            <c:numRef>
              <c:f>'FM 10 min precipitation'!$E$4:$E$148</c:f>
              <c:numCache>
                <c:formatCode>0.00</c:formatCode>
                <c:ptCount val="145"/>
                <c:pt idx="0">
                  <c:v>0</c:v>
                </c:pt>
                <c:pt idx="1">
                  <c:v>0.19291023223159465</c:v>
                </c:pt>
                <c:pt idx="2">
                  <c:v>0.38786349838016398</c:v>
                </c:pt>
                <c:pt idx="3">
                  <c:v>0.58491178203772254</c:v>
                </c:pt>
                <c:pt idx="4">
                  <c:v>0.7841091833420436</c:v>
                </c:pt>
                <c:pt idx="5">
                  <c:v>0.98551203887823102</c:v>
                </c:pt>
                <c:pt idx="6">
                  <c:v>1.189179049127741</c:v>
                </c:pt>
                <c:pt idx="7">
                  <c:v>1.3951714165524534</c:v>
                </c:pt>
                <c:pt idx="8">
                  <c:v>1.6035529931130559</c:v>
                </c:pt>
                <c:pt idx="9">
                  <c:v>1.8143904396232062</c:v>
                </c:pt>
                <c:pt idx="10">
                  <c:v>2.027753397111006</c:v>
                </c:pt>
                <c:pt idx="11">
                  <c:v>2.2437146717315803</c:v>
                </c:pt>
                <c:pt idx="12">
                  <c:v>2.462350434259962</c:v>
                </c:pt>
                <c:pt idx="13">
                  <c:v>2.6837404360511496</c:v>
                </c:pt>
                <c:pt idx="14">
                  <c:v>2.9079682431826575</c:v>
                </c:pt>
                <c:pt idx="15">
                  <c:v>3.1351214894656989</c:v>
                </c:pt>
                <c:pt idx="16">
                  <c:v>3.3652921517556647</c:v>
                </c:pt>
                <c:pt idx="17">
                  <c:v>3.5985768491056778</c:v>
                </c:pt>
                <c:pt idx="18">
                  <c:v>3.8350771688508472</c:v>
                </c:pt>
                <c:pt idx="19">
                  <c:v>4.0749000213385136</c:v>
                </c:pt>
                <c:pt idx="20">
                  <c:v>4.31815802862205</c:v>
                </c:pt>
                <c:pt idx="21">
                  <c:v>4.564969948661977</c:v>
                </c:pt>
                <c:pt idx="22">
                  <c:v>4.8154611410380808</c:v>
                </c:pt>
                <c:pt idx="23">
                  <c:v>5.0697640781177649</c:v>
                </c:pt>
                <c:pt idx="24">
                  <c:v>5.3280189073412458</c:v>
                </c:pt>
                <c:pt idx="25">
                  <c:v>5.5903740707987701</c:v>
                </c:pt>
                <c:pt idx="26">
                  <c:v>5.8569869903334402</c:v>
                </c:pt>
                <c:pt idx="27">
                  <c:v>6.128024824687901</c:v>
                </c:pt>
                <c:pt idx="28">
                  <c:v>6.4036653105306662</c:v>
                </c:pt>
                <c:pt idx="29">
                  <c:v>6.6840976973110022</c:v>
                </c:pt>
                <c:pt idx="30">
                  <c:v>6.9695237884642731</c:v>
                </c:pt>
                <c:pt idx="31">
                  <c:v>7.2601591059495165</c:v>
                </c:pt>
                <c:pt idx="32">
                  <c:v>7.5562341944148885</c:v>
                </c:pt>
                <c:pt idx="33">
                  <c:v>7.8579960862610641</c:v>
                </c:pt>
                <c:pt idx="34">
                  <c:v>8.1657099529894825</c:v>
                </c:pt>
                <c:pt idx="35">
                  <c:v>8.4796609707953294</c:v>
                </c:pt>
                <c:pt idx="36">
                  <c:v>8.8001564369417444</c:v>
                </c:pt>
                <c:pt idx="37">
                  <c:v>9.1275281767109782</c:v>
                </c:pt>
                <c:pt idx="38">
                  <c:v>9.4621352918777308</c:v>
                </c:pt>
                <c:pt idx="39">
                  <c:v>9.8043673115989431</c:v>
                </c:pt>
                <c:pt idx="40">
                  <c:v>10.154647817420805</c:v>
                </c:pt>
                <c:pt idx="41">
                  <c:v>10.51343863331549</c:v>
                </c:pt>
                <c:pt idx="42">
                  <c:v>10.881244689499535</c:v>
                </c:pt>
                <c:pt idx="43">
                  <c:v>11.258619696402612</c:v>
                </c:pt>
                <c:pt idx="44">
                  <c:v>11.646172796717485</c:v>
                </c:pt>
                <c:pt idx="45">
                  <c:v>12.044576408403643</c:v>
                </c:pt>
                <c:pt idx="46">
                  <c:v>12.454575524863804</c:v>
                </c:pt>
                <c:pt idx="47">
                  <c:v>12.876998813300929</c:v>
                </c:pt>
                <c:pt idx="48">
                  <c:v>13.312771948664901</c:v>
                </c:pt>
                <c:pt idx="49">
                  <c:v>13.762933750963096</c:v>
                </c:pt>
                <c:pt idx="50">
                  <c:v>14.228655870045092</c:v>
                </c:pt>
                <c:pt idx="51">
                  <c:v>14.711267004690809</c:v>
                </c:pt>
                <c:pt idx="52">
                  <c:v>15.212282980236946</c:v>
                </c:pt>
                <c:pt idx="53">
                  <c:v>15.733444485152152</c:v>
                </c:pt>
                <c:pt idx="54">
                  <c:v>16.276764951216453</c:v>
                </c:pt>
                <c:pt idx="55">
                  <c:v>16.84459205976809</c:v>
                </c:pt>
                <c:pt idx="56">
                  <c:v>17.43968784229973</c:v>
                </c:pt>
                <c:pt idx="57">
                  <c:v>18.065334605691742</c:v>
                </c:pt>
                <c:pt idx="58">
                  <c:v>18.725477426052393</c:v>
                </c:pt>
                <c:pt idx="59">
                  <c:v>19.424919586391869</c:v>
                </c:pt>
                <c:pt idx="60">
                  <c:v>20.169596597854511</c:v>
                </c:pt>
                <c:pt idx="61">
                  <c:v>20.96697024928508</c:v>
                </c:pt>
                <c:pt idx="62">
                  <c:v>21.826612141072946</c:v>
                </c:pt>
                <c:pt idx="63">
                  <c:v>22.761098128916064</c:v>
                </c:pt>
                <c:pt idx="64">
                  <c:v>23.787436798032864</c:v>
                </c:pt>
                <c:pt idx="65">
                  <c:v>24.929467191656393</c:v>
                </c:pt>
                <c:pt idx="66">
                  <c:v>26.222139047369559</c:v>
                </c:pt>
                <c:pt idx="67">
                  <c:v>27.7197755781892</c:v>
                </c:pt>
                <c:pt idx="68">
                  <c:v>29.513755881628551</c:v>
                </c:pt>
                <c:pt idx="69">
                  <c:v>31.776151851604585</c:v>
                </c:pt>
                <c:pt idx="70">
                  <c:v>34.892886273390729</c:v>
                </c:pt>
                <c:pt idx="71">
                  <c:v>40.046216834355185</c:v>
                </c:pt>
                <c:pt idx="72">
                  <c:v>55.120798493874112</c:v>
                </c:pt>
                <c:pt idx="73">
                  <c:v>62.842580037354665</c:v>
                </c:pt>
                <c:pt idx="74">
                  <c:v>66.717588720785329</c:v>
                </c:pt>
                <c:pt idx="75">
                  <c:v>69.334189944314986</c:v>
                </c:pt>
                <c:pt idx="76">
                  <c:v>71.332599910043385</c:v>
                </c:pt>
                <c:pt idx="77">
                  <c:v>72.963485497024195</c:v>
                </c:pt>
                <c:pt idx="78">
                  <c:v>74.350123555814562</c:v>
                </c:pt>
                <c:pt idx="79">
                  <c:v>75.562159175559657</c:v>
                </c:pt>
                <c:pt idx="80">
                  <c:v>76.642801595386928</c:v>
                </c:pt>
                <c:pt idx="81">
                  <c:v>77.620732987113072</c:v>
                </c:pt>
                <c:pt idx="82">
                  <c:v>78.51598985870308</c:v>
                </c:pt>
                <c:pt idx="83">
                  <c:v>79.343139195428165</c:v>
                </c:pt>
                <c:pt idx="84">
                  <c:v>80.11311649228584</c:v>
                </c:pt>
                <c:pt idx="85">
                  <c:v>80.834349771535386</c:v>
                </c:pt>
                <c:pt idx="86">
                  <c:v>81.513478662780855</c:v>
                </c:pt>
                <c:pt idx="87">
                  <c:v>82.15583202907834</c:v>
                </c:pt>
                <c:pt idx="88">
                  <c:v>82.765755453119269</c:v>
                </c:pt>
                <c:pt idx="89">
                  <c:v>83.346841975196355</c:v>
                </c:pt>
                <c:pt idx="90">
                  <c:v>83.902098543171761</c:v>
                </c:pt>
                <c:pt idx="91">
                  <c:v>84.434068589963104</c:v>
                </c:pt>
                <c:pt idx="92">
                  <c:v>84.944923959625129</c:v>
                </c:pt>
                <c:pt idx="93">
                  <c:v>85.436534971892669</c:v>
                </c:pt>
                <c:pt idx="94">
                  <c:v>85.910524600537599</c:v>
                </c:pt>
                <c:pt idx="95">
                  <c:v>86.368310918353387</c:v>
                </c:pt>
                <c:pt idx="96">
                  <c:v>86.811140741810448</c:v>
                </c:pt>
                <c:pt idx="97">
                  <c:v>87.240116588497116</c:v>
                </c:pt>
                <c:pt idx="98">
                  <c:v>87.656218486855337</c:v>
                </c:pt>
                <c:pt idx="99">
                  <c:v>88.060321780963449</c:v>
                </c:pt>
                <c:pt idx="100">
                  <c:v>88.453211785973252</c:v>
                </c:pt>
                <c:pt idx="101">
                  <c:v>88.835595941394971</c:v>
                </c:pt>
                <c:pt idx="102">
                  <c:v>89.208113963278208</c:v>
                </c:pt>
                <c:pt idx="103">
                  <c:v>89.57134637780743</c:v>
                </c:pt>
                <c:pt idx="104">
                  <c:v>89.925821739239339</c:v>
                </c:pt>
                <c:pt idx="105">
                  <c:v>90.272022769583728</c:v>
                </c:pt>
                <c:pt idx="106">
                  <c:v>90.610391608714238</c:v>
                </c:pt>
                <c:pt idx="107">
                  <c:v>90.941334325686341</c:v>
                </c:pt>
                <c:pt idx="108">
                  <c:v>91.265224814595044</c:v>
                </c:pt>
                <c:pt idx="109">
                  <c:v>91.582408171716679</c:v>
                </c:pt>
                <c:pt idx="110">
                  <c:v>91.893203637128323</c:v>
                </c:pt>
                <c:pt idx="111">
                  <c:v>92.197907166159311</c:v>
                </c:pt>
                <c:pt idx="112">
                  <c:v>92.496793684535433</c:v>
                </c:pt>
                <c:pt idx="113">
                  <c:v>92.79011907524584</c:v>
                </c:pt>
                <c:pt idx="114">
                  <c:v>93.078121932639647</c:v>
                </c:pt>
                <c:pt idx="115">
                  <c:v>93.361025117543974</c:v>
                </c:pt>
                <c:pt idx="116">
                  <c:v>93.639037138790911</c:v>
                </c:pt>
                <c:pt idx="117">
                  <c:v>93.912353385339074</c:v>
                </c:pt>
                <c:pt idx="118">
                  <c:v>94.181157227000895</c:v>
                </c:pt>
                <c:pt idx="119">
                  <c:v>94.445621000928909</c:v>
                </c:pt>
                <c:pt idx="120">
                  <c:v>94.70590689758383</c:v>
                </c:pt>
                <c:pt idx="121">
                  <c:v>94.962167759220534</c:v>
                </c:pt>
                <c:pt idx="122">
                  <c:v>95.214547798954527</c:v>
                </c:pt>
                <c:pt idx="123">
                  <c:v>95.463183253101974</c:v>
                </c:pt>
                <c:pt idx="124">
                  <c:v>95.708202970738611</c:v>
                </c:pt>
                <c:pt idx="125">
                  <c:v>95.949728949740376</c:v>
                </c:pt>
                <c:pt idx="126">
                  <c:v>96.187876824623274</c:v>
                </c:pt>
                <c:pt idx="127">
                  <c:v>96.422756310813895</c:v>
                </c:pt>
                <c:pt idx="128">
                  <c:v>96.654471610668026</c:v>
                </c:pt>
                <c:pt idx="129">
                  <c:v>96.883121785011127</c:v>
                </c:pt>
                <c:pt idx="130">
                  <c:v>97.108801092773703</c:v>
                </c:pt>
                <c:pt idx="131">
                  <c:v>97.33159930335286</c:v>
                </c:pt>
                <c:pt idx="132">
                  <c:v>97.551601983758644</c:v>
                </c:pt>
                <c:pt idx="133">
                  <c:v>97.768890762431766</c:v>
                </c:pt>
                <c:pt idx="134">
                  <c:v>97.983543572305777</c:v>
                </c:pt>
                <c:pt idx="135">
                  <c:v>98.195634875858545</c:v>
                </c:pt>
                <c:pt idx="136">
                  <c:v>98.405235872667049</c:v>
                </c:pt>
                <c:pt idx="137">
                  <c:v>98.612414691524407</c:v>
                </c:pt>
                <c:pt idx="138">
                  <c:v>98.817236567976536</c:v>
                </c:pt>
                <c:pt idx="139">
                  <c:v>99.01976401019455</c:v>
                </c:pt>
                <c:pt idx="140">
                  <c:v>99.22005695198223</c:v>
                </c:pt>
                <c:pt idx="141">
                  <c:v>99.418172895148373</c:v>
                </c:pt>
                <c:pt idx="142">
                  <c:v>99.614167042444919</c:v>
                </c:pt>
                <c:pt idx="143">
                  <c:v>99.8080924215853</c:v>
                </c:pt>
                <c:pt idx="144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129-4FB4-956E-27E806D59F04}"/>
            </c:ext>
          </c:extLst>
        </c:ser>
        <c:ser>
          <c:idx val="4"/>
          <c:order val="4"/>
          <c:tx>
            <c:strRef>
              <c:f>'FM 10 min precipitation'!$F$3</c:f>
              <c:strCache>
                <c:ptCount val="1"/>
                <c:pt idx="0">
                  <c:v>PMP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'FM 10 min precipitation'!$A$4:$A$148</c:f>
              <c:numCache>
                <c:formatCode>0.00</c:formatCode>
                <c:ptCount val="145"/>
                <c:pt idx="0">
                  <c:v>0</c:v>
                </c:pt>
                <c:pt idx="1">
                  <c:v>0.69444444444444442</c:v>
                </c:pt>
                <c:pt idx="2">
                  <c:v>1.3888888888888888</c:v>
                </c:pt>
                <c:pt idx="3">
                  <c:v>2.083333333333333</c:v>
                </c:pt>
                <c:pt idx="4">
                  <c:v>2.7777777777777777</c:v>
                </c:pt>
                <c:pt idx="5">
                  <c:v>3.4722222222222223</c:v>
                </c:pt>
                <c:pt idx="6">
                  <c:v>4.1666666666666661</c:v>
                </c:pt>
                <c:pt idx="7">
                  <c:v>4.8611111111111116</c:v>
                </c:pt>
                <c:pt idx="8">
                  <c:v>5.5555555555555554</c:v>
                </c:pt>
                <c:pt idx="9">
                  <c:v>6.25</c:v>
                </c:pt>
                <c:pt idx="10">
                  <c:v>6.9444444444444446</c:v>
                </c:pt>
                <c:pt idx="11">
                  <c:v>7.6388888888888893</c:v>
                </c:pt>
                <c:pt idx="12">
                  <c:v>8.3333333333333321</c:v>
                </c:pt>
                <c:pt idx="13">
                  <c:v>9.0277777777777768</c:v>
                </c:pt>
                <c:pt idx="14">
                  <c:v>9.7222222222222232</c:v>
                </c:pt>
                <c:pt idx="15">
                  <c:v>10.416666666666668</c:v>
                </c:pt>
                <c:pt idx="16">
                  <c:v>11.111111111111111</c:v>
                </c:pt>
                <c:pt idx="17">
                  <c:v>11.805555555555555</c:v>
                </c:pt>
                <c:pt idx="18">
                  <c:v>12.5</c:v>
                </c:pt>
                <c:pt idx="19">
                  <c:v>13.194444444444445</c:v>
                </c:pt>
                <c:pt idx="20">
                  <c:v>13.888888888888889</c:v>
                </c:pt>
                <c:pt idx="21">
                  <c:v>14.583333333333334</c:v>
                </c:pt>
                <c:pt idx="22">
                  <c:v>15.277777777777779</c:v>
                </c:pt>
                <c:pt idx="23">
                  <c:v>15.972222222222221</c:v>
                </c:pt>
                <c:pt idx="24">
                  <c:v>16.666666666666664</c:v>
                </c:pt>
                <c:pt idx="25">
                  <c:v>17.361111111111111</c:v>
                </c:pt>
                <c:pt idx="26">
                  <c:v>18.055555555555554</c:v>
                </c:pt>
                <c:pt idx="27">
                  <c:v>18.75</c:v>
                </c:pt>
                <c:pt idx="28">
                  <c:v>19.444444444444446</c:v>
                </c:pt>
                <c:pt idx="29">
                  <c:v>20.138888888888889</c:v>
                </c:pt>
                <c:pt idx="30">
                  <c:v>20.833333333333336</c:v>
                </c:pt>
                <c:pt idx="31">
                  <c:v>21.527777777777779</c:v>
                </c:pt>
                <c:pt idx="32">
                  <c:v>22.222222222222221</c:v>
                </c:pt>
                <c:pt idx="33">
                  <c:v>22.916666666666664</c:v>
                </c:pt>
                <c:pt idx="34">
                  <c:v>23.611111111111111</c:v>
                </c:pt>
                <c:pt idx="35">
                  <c:v>24.305555555555554</c:v>
                </c:pt>
                <c:pt idx="36">
                  <c:v>25</c:v>
                </c:pt>
                <c:pt idx="37">
                  <c:v>25.694444444444443</c:v>
                </c:pt>
                <c:pt idx="38">
                  <c:v>26.388888888888889</c:v>
                </c:pt>
                <c:pt idx="39">
                  <c:v>27.083333333333332</c:v>
                </c:pt>
                <c:pt idx="40">
                  <c:v>27.777777777777779</c:v>
                </c:pt>
                <c:pt idx="41">
                  <c:v>28.472222222222221</c:v>
                </c:pt>
                <c:pt idx="42">
                  <c:v>29.166666666666668</c:v>
                </c:pt>
                <c:pt idx="43">
                  <c:v>29.861111111111111</c:v>
                </c:pt>
                <c:pt idx="44">
                  <c:v>30.555555555555557</c:v>
                </c:pt>
                <c:pt idx="45">
                  <c:v>31.25</c:v>
                </c:pt>
                <c:pt idx="46">
                  <c:v>31.944444444444443</c:v>
                </c:pt>
                <c:pt idx="47">
                  <c:v>32.638888888888893</c:v>
                </c:pt>
                <c:pt idx="48">
                  <c:v>33.333333333333329</c:v>
                </c:pt>
                <c:pt idx="49">
                  <c:v>34.027777777777779</c:v>
                </c:pt>
                <c:pt idx="50">
                  <c:v>34.722222222222221</c:v>
                </c:pt>
                <c:pt idx="51">
                  <c:v>35.416666666666671</c:v>
                </c:pt>
                <c:pt idx="52">
                  <c:v>36.111111111111107</c:v>
                </c:pt>
                <c:pt idx="53">
                  <c:v>36.805555555555557</c:v>
                </c:pt>
                <c:pt idx="54">
                  <c:v>37.5</c:v>
                </c:pt>
                <c:pt idx="55">
                  <c:v>38.194444444444443</c:v>
                </c:pt>
                <c:pt idx="56">
                  <c:v>38.888888888888893</c:v>
                </c:pt>
                <c:pt idx="57">
                  <c:v>39.583333333333329</c:v>
                </c:pt>
                <c:pt idx="58">
                  <c:v>40.277777777777779</c:v>
                </c:pt>
                <c:pt idx="59">
                  <c:v>40.972222222222221</c:v>
                </c:pt>
                <c:pt idx="60">
                  <c:v>41.666666666666671</c:v>
                </c:pt>
                <c:pt idx="61">
                  <c:v>42.361111111111107</c:v>
                </c:pt>
                <c:pt idx="62">
                  <c:v>43.055555555555557</c:v>
                </c:pt>
                <c:pt idx="63">
                  <c:v>43.75</c:v>
                </c:pt>
                <c:pt idx="64">
                  <c:v>44.444444444444443</c:v>
                </c:pt>
                <c:pt idx="65">
                  <c:v>45.138888888888893</c:v>
                </c:pt>
                <c:pt idx="66">
                  <c:v>45.833333333333329</c:v>
                </c:pt>
                <c:pt idx="67">
                  <c:v>46.527777777777779</c:v>
                </c:pt>
                <c:pt idx="68">
                  <c:v>47.222222222222221</c:v>
                </c:pt>
                <c:pt idx="69">
                  <c:v>47.916666666666671</c:v>
                </c:pt>
                <c:pt idx="70">
                  <c:v>48.611111111111107</c:v>
                </c:pt>
                <c:pt idx="71">
                  <c:v>49.305555555555557</c:v>
                </c:pt>
                <c:pt idx="72">
                  <c:v>50</c:v>
                </c:pt>
                <c:pt idx="73">
                  <c:v>50.694444444444443</c:v>
                </c:pt>
                <c:pt idx="74">
                  <c:v>51.388888888888886</c:v>
                </c:pt>
                <c:pt idx="75">
                  <c:v>52.083333333333336</c:v>
                </c:pt>
                <c:pt idx="76">
                  <c:v>52.777777777777779</c:v>
                </c:pt>
                <c:pt idx="77">
                  <c:v>53.472222222222221</c:v>
                </c:pt>
                <c:pt idx="78">
                  <c:v>54.166666666666664</c:v>
                </c:pt>
                <c:pt idx="79">
                  <c:v>54.861111111111114</c:v>
                </c:pt>
                <c:pt idx="80">
                  <c:v>55.555555555555557</c:v>
                </c:pt>
                <c:pt idx="81">
                  <c:v>56.25</c:v>
                </c:pt>
                <c:pt idx="82">
                  <c:v>56.944444444444443</c:v>
                </c:pt>
                <c:pt idx="83">
                  <c:v>57.638888888888886</c:v>
                </c:pt>
                <c:pt idx="84">
                  <c:v>58.333333333333336</c:v>
                </c:pt>
                <c:pt idx="85">
                  <c:v>59.027777777777779</c:v>
                </c:pt>
                <c:pt idx="86">
                  <c:v>59.722222222222221</c:v>
                </c:pt>
                <c:pt idx="87">
                  <c:v>60.416666666666664</c:v>
                </c:pt>
                <c:pt idx="88">
                  <c:v>61.111111111111114</c:v>
                </c:pt>
                <c:pt idx="89">
                  <c:v>61.805555555555557</c:v>
                </c:pt>
                <c:pt idx="90">
                  <c:v>62.5</c:v>
                </c:pt>
                <c:pt idx="91">
                  <c:v>63.194444444444443</c:v>
                </c:pt>
                <c:pt idx="92">
                  <c:v>63.888888888888886</c:v>
                </c:pt>
                <c:pt idx="93">
                  <c:v>64.583333333333343</c:v>
                </c:pt>
                <c:pt idx="94">
                  <c:v>65.277777777777786</c:v>
                </c:pt>
                <c:pt idx="95">
                  <c:v>65.972222222222214</c:v>
                </c:pt>
                <c:pt idx="96">
                  <c:v>66.666666666666657</c:v>
                </c:pt>
                <c:pt idx="97">
                  <c:v>67.361111111111114</c:v>
                </c:pt>
                <c:pt idx="98">
                  <c:v>68.055555555555557</c:v>
                </c:pt>
                <c:pt idx="99">
                  <c:v>68.75</c:v>
                </c:pt>
                <c:pt idx="100">
                  <c:v>69.444444444444443</c:v>
                </c:pt>
                <c:pt idx="101">
                  <c:v>70.138888888888886</c:v>
                </c:pt>
                <c:pt idx="102">
                  <c:v>70.833333333333343</c:v>
                </c:pt>
                <c:pt idx="103">
                  <c:v>71.527777777777786</c:v>
                </c:pt>
                <c:pt idx="104">
                  <c:v>72.222222222222214</c:v>
                </c:pt>
                <c:pt idx="105">
                  <c:v>72.916666666666657</c:v>
                </c:pt>
                <c:pt idx="106">
                  <c:v>73.611111111111114</c:v>
                </c:pt>
                <c:pt idx="107">
                  <c:v>74.305555555555557</c:v>
                </c:pt>
                <c:pt idx="108">
                  <c:v>75</c:v>
                </c:pt>
                <c:pt idx="109">
                  <c:v>75.694444444444443</c:v>
                </c:pt>
                <c:pt idx="110">
                  <c:v>76.388888888888886</c:v>
                </c:pt>
                <c:pt idx="111">
                  <c:v>77.083333333333343</c:v>
                </c:pt>
                <c:pt idx="112">
                  <c:v>77.777777777777786</c:v>
                </c:pt>
                <c:pt idx="113">
                  <c:v>78.472222222222214</c:v>
                </c:pt>
                <c:pt idx="114">
                  <c:v>79.166666666666657</c:v>
                </c:pt>
                <c:pt idx="115">
                  <c:v>79.861111111111114</c:v>
                </c:pt>
                <c:pt idx="116">
                  <c:v>80.555555555555557</c:v>
                </c:pt>
                <c:pt idx="117">
                  <c:v>81.25</c:v>
                </c:pt>
                <c:pt idx="118">
                  <c:v>81.944444444444443</c:v>
                </c:pt>
                <c:pt idx="119">
                  <c:v>82.638888888888886</c:v>
                </c:pt>
                <c:pt idx="120">
                  <c:v>83.333333333333343</c:v>
                </c:pt>
                <c:pt idx="121">
                  <c:v>84.027777777777786</c:v>
                </c:pt>
                <c:pt idx="122">
                  <c:v>84.722222222222214</c:v>
                </c:pt>
                <c:pt idx="123">
                  <c:v>85.416666666666657</c:v>
                </c:pt>
                <c:pt idx="124">
                  <c:v>86.111111111111114</c:v>
                </c:pt>
                <c:pt idx="125">
                  <c:v>86.805555555555557</c:v>
                </c:pt>
                <c:pt idx="126">
                  <c:v>87.5</c:v>
                </c:pt>
                <c:pt idx="127">
                  <c:v>88.194444444444443</c:v>
                </c:pt>
                <c:pt idx="128">
                  <c:v>88.888888888888886</c:v>
                </c:pt>
                <c:pt idx="129">
                  <c:v>89.583333333333343</c:v>
                </c:pt>
                <c:pt idx="130">
                  <c:v>90.277777777777786</c:v>
                </c:pt>
                <c:pt idx="131">
                  <c:v>90.972222222222214</c:v>
                </c:pt>
                <c:pt idx="132">
                  <c:v>91.666666666666657</c:v>
                </c:pt>
                <c:pt idx="133">
                  <c:v>92.361111111111114</c:v>
                </c:pt>
                <c:pt idx="134">
                  <c:v>93.055555555555557</c:v>
                </c:pt>
                <c:pt idx="135">
                  <c:v>93.75</c:v>
                </c:pt>
                <c:pt idx="136">
                  <c:v>94.444444444444443</c:v>
                </c:pt>
                <c:pt idx="137">
                  <c:v>95.138888888888886</c:v>
                </c:pt>
                <c:pt idx="138">
                  <c:v>95.833333333333343</c:v>
                </c:pt>
                <c:pt idx="139">
                  <c:v>96.527777777777786</c:v>
                </c:pt>
                <c:pt idx="140">
                  <c:v>97.222222222222214</c:v>
                </c:pt>
                <c:pt idx="141">
                  <c:v>97.916666666666657</c:v>
                </c:pt>
                <c:pt idx="142">
                  <c:v>98.611111111111114</c:v>
                </c:pt>
                <c:pt idx="143">
                  <c:v>99.305555555555557</c:v>
                </c:pt>
                <c:pt idx="144">
                  <c:v>100</c:v>
                </c:pt>
              </c:numCache>
            </c:numRef>
          </c:xVal>
          <c:yVal>
            <c:numRef>
              <c:f>'FM 10 min precipitation'!$F$4:$F$148</c:f>
              <c:numCache>
                <c:formatCode>0.00</c:formatCode>
                <c:ptCount val="145"/>
                <c:pt idx="0">
                  <c:v>0</c:v>
                </c:pt>
                <c:pt idx="1">
                  <c:v>0.4</c:v>
                </c:pt>
                <c:pt idx="2">
                  <c:v>0.8</c:v>
                </c:pt>
                <c:pt idx="3">
                  <c:v>1.2000000000000002</c:v>
                </c:pt>
                <c:pt idx="4">
                  <c:v>1.6</c:v>
                </c:pt>
                <c:pt idx="5">
                  <c:v>2</c:v>
                </c:pt>
                <c:pt idx="6">
                  <c:v>2.4</c:v>
                </c:pt>
                <c:pt idx="7">
                  <c:v>2.8</c:v>
                </c:pt>
                <c:pt idx="8">
                  <c:v>3.1999999999999997</c:v>
                </c:pt>
                <c:pt idx="9">
                  <c:v>3.5999999999999996</c:v>
                </c:pt>
                <c:pt idx="10">
                  <c:v>3.9999999999999996</c:v>
                </c:pt>
                <c:pt idx="11">
                  <c:v>4.3999999999999995</c:v>
                </c:pt>
                <c:pt idx="12">
                  <c:v>4.8</c:v>
                </c:pt>
                <c:pt idx="13">
                  <c:v>5.2</c:v>
                </c:pt>
                <c:pt idx="14">
                  <c:v>5.6000000000000005</c:v>
                </c:pt>
                <c:pt idx="15">
                  <c:v>6.0000000000000009</c:v>
                </c:pt>
                <c:pt idx="16">
                  <c:v>6.4000000000000012</c:v>
                </c:pt>
                <c:pt idx="17">
                  <c:v>6.8000000000000016</c:v>
                </c:pt>
                <c:pt idx="18">
                  <c:v>7.200000000000002</c:v>
                </c:pt>
                <c:pt idx="19">
                  <c:v>7.6000000000000023</c:v>
                </c:pt>
                <c:pt idx="20">
                  <c:v>8.0000000000000018</c:v>
                </c:pt>
                <c:pt idx="21">
                  <c:v>8.4000000000000021</c:v>
                </c:pt>
                <c:pt idx="22">
                  <c:v>8.8000000000000025</c:v>
                </c:pt>
                <c:pt idx="23">
                  <c:v>9.2000000000000028</c:v>
                </c:pt>
                <c:pt idx="24">
                  <c:v>9.6000000000000032</c:v>
                </c:pt>
                <c:pt idx="25">
                  <c:v>10.000000000000004</c:v>
                </c:pt>
                <c:pt idx="26">
                  <c:v>10.400000000000004</c:v>
                </c:pt>
                <c:pt idx="27">
                  <c:v>10.800000000000004</c:v>
                </c:pt>
                <c:pt idx="28">
                  <c:v>11.200000000000005</c:v>
                </c:pt>
                <c:pt idx="29">
                  <c:v>11.600000000000005</c:v>
                </c:pt>
                <c:pt idx="30">
                  <c:v>12.000000000000005</c:v>
                </c:pt>
                <c:pt idx="31">
                  <c:v>12.400000000000006</c:v>
                </c:pt>
                <c:pt idx="32">
                  <c:v>12.900000000000006</c:v>
                </c:pt>
                <c:pt idx="33">
                  <c:v>13.400000000000006</c:v>
                </c:pt>
                <c:pt idx="34">
                  <c:v>13.900000000000006</c:v>
                </c:pt>
                <c:pt idx="35">
                  <c:v>14.400000000000006</c:v>
                </c:pt>
                <c:pt idx="36">
                  <c:v>14.900000000000006</c:v>
                </c:pt>
                <c:pt idx="37">
                  <c:v>15.400000000000006</c:v>
                </c:pt>
                <c:pt idx="38">
                  <c:v>15.900000000000006</c:v>
                </c:pt>
                <c:pt idx="39">
                  <c:v>16.400000000000006</c:v>
                </c:pt>
                <c:pt idx="40">
                  <c:v>16.900000000000006</c:v>
                </c:pt>
                <c:pt idx="41">
                  <c:v>17.400000000000006</c:v>
                </c:pt>
                <c:pt idx="42">
                  <c:v>17.900000000000006</c:v>
                </c:pt>
                <c:pt idx="43">
                  <c:v>18.400000000000006</c:v>
                </c:pt>
                <c:pt idx="44">
                  <c:v>18.900000000000006</c:v>
                </c:pt>
                <c:pt idx="45">
                  <c:v>19.400000000000006</c:v>
                </c:pt>
                <c:pt idx="46">
                  <c:v>19.900000000000006</c:v>
                </c:pt>
                <c:pt idx="47">
                  <c:v>20.400000000000006</c:v>
                </c:pt>
                <c:pt idx="48">
                  <c:v>21.000000000000007</c:v>
                </c:pt>
                <c:pt idx="49">
                  <c:v>21.600000000000009</c:v>
                </c:pt>
                <c:pt idx="50">
                  <c:v>22.20000000000001</c:v>
                </c:pt>
                <c:pt idx="51">
                  <c:v>22.800000000000011</c:v>
                </c:pt>
                <c:pt idx="52">
                  <c:v>23.400000000000013</c:v>
                </c:pt>
                <c:pt idx="53">
                  <c:v>24.000000000000014</c:v>
                </c:pt>
                <c:pt idx="54">
                  <c:v>24.600000000000016</c:v>
                </c:pt>
                <c:pt idx="55">
                  <c:v>25.200000000000017</c:v>
                </c:pt>
                <c:pt idx="56">
                  <c:v>25.900000000000016</c:v>
                </c:pt>
                <c:pt idx="57">
                  <c:v>26.600000000000016</c:v>
                </c:pt>
                <c:pt idx="58">
                  <c:v>27.300000000000015</c:v>
                </c:pt>
                <c:pt idx="59">
                  <c:v>28.000000000000014</c:v>
                </c:pt>
                <c:pt idx="60">
                  <c:v>28.800000000000015</c:v>
                </c:pt>
                <c:pt idx="61">
                  <c:v>29.600000000000016</c:v>
                </c:pt>
                <c:pt idx="62">
                  <c:v>30.500000000000014</c:v>
                </c:pt>
                <c:pt idx="63">
                  <c:v>31.400000000000013</c:v>
                </c:pt>
                <c:pt idx="64">
                  <c:v>32.400000000000013</c:v>
                </c:pt>
                <c:pt idx="65">
                  <c:v>33.400000000000013</c:v>
                </c:pt>
                <c:pt idx="66">
                  <c:v>34.500000000000014</c:v>
                </c:pt>
                <c:pt idx="67">
                  <c:v>35.800000000000011</c:v>
                </c:pt>
                <c:pt idx="68">
                  <c:v>37.300000000000011</c:v>
                </c:pt>
                <c:pt idx="69">
                  <c:v>39.100000000000009</c:v>
                </c:pt>
                <c:pt idx="70">
                  <c:v>41.400000000000006</c:v>
                </c:pt>
                <c:pt idx="71">
                  <c:v>44.800000000000004</c:v>
                </c:pt>
                <c:pt idx="72">
                  <c:v>52.2</c:v>
                </c:pt>
                <c:pt idx="73">
                  <c:v>56.800000000000004</c:v>
                </c:pt>
                <c:pt idx="74">
                  <c:v>59.500000000000007</c:v>
                </c:pt>
                <c:pt idx="75">
                  <c:v>61.500000000000007</c:v>
                </c:pt>
                <c:pt idx="76">
                  <c:v>63.100000000000009</c:v>
                </c:pt>
                <c:pt idx="77">
                  <c:v>64.500000000000014</c:v>
                </c:pt>
                <c:pt idx="78">
                  <c:v>65.700000000000017</c:v>
                </c:pt>
                <c:pt idx="79">
                  <c:v>66.800000000000011</c:v>
                </c:pt>
                <c:pt idx="80">
                  <c:v>67.800000000000011</c:v>
                </c:pt>
                <c:pt idx="81">
                  <c:v>68.700000000000017</c:v>
                </c:pt>
                <c:pt idx="82">
                  <c:v>69.600000000000023</c:v>
                </c:pt>
                <c:pt idx="83">
                  <c:v>70.40000000000002</c:v>
                </c:pt>
                <c:pt idx="84">
                  <c:v>71.200000000000017</c:v>
                </c:pt>
                <c:pt idx="85">
                  <c:v>72.000000000000014</c:v>
                </c:pt>
                <c:pt idx="86">
                  <c:v>72.700000000000017</c:v>
                </c:pt>
                <c:pt idx="87">
                  <c:v>73.40000000000002</c:v>
                </c:pt>
                <c:pt idx="88">
                  <c:v>74.100000000000023</c:v>
                </c:pt>
                <c:pt idx="89">
                  <c:v>74.800000000000026</c:v>
                </c:pt>
                <c:pt idx="90">
                  <c:v>75.40000000000002</c:v>
                </c:pt>
                <c:pt idx="91">
                  <c:v>76.000000000000014</c:v>
                </c:pt>
                <c:pt idx="92">
                  <c:v>76.600000000000009</c:v>
                </c:pt>
                <c:pt idx="93">
                  <c:v>77.2</c:v>
                </c:pt>
                <c:pt idx="94">
                  <c:v>77.8</c:v>
                </c:pt>
                <c:pt idx="95">
                  <c:v>78.399999999999991</c:v>
                </c:pt>
                <c:pt idx="96">
                  <c:v>78.999999999999986</c:v>
                </c:pt>
                <c:pt idx="97">
                  <c:v>79.499999999999986</c:v>
                </c:pt>
                <c:pt idx="98">
                  <c:v>79.999999999999986</c:v>
                </c:pt>
                <c:pt idx="99">
                  <c:v>80.499999999999986</c:v>
                </c:pt>
                <c:pt idx="100">
                  <c:v>80.999999999999986</c:v>
                </c:pt>
                <c:pt idx="101">
                  <c:v>81.499999999999986</c:v>
                </c:pt>
                <c:pt idx="102">
                  <c:v>81.999999999999986</c:v>
                </c:pt>
                <c:pt idx="103">
                  <c:v>82.499999999999986</c:v>
                </c:pt>
                <c:pt idx="104">
                  <c:v>82.999999999999986</c:v>
                </c:pt>
                <c:pt idx="105">
                  <c:v>83.499999999999986</c:v>
                </c:pt>
                <c:pt idx="106">
                  <c:v>83.999999999999986</c:v>
                </c:pt>
                <c:pt idx="107">
                  <c:v>84.499999999999986</c:v>
                </c:pt>
                <c:pt idx="108">
                  <c:v>84.999999999999986</c:v>
                </c:pt>
                <c:pt idx="109">
                  <c:v>85.499999999999986</c:v>
                </c:pt>
                <c:pt idx="110">
                  <c:v>85.999999999999986</c:v>
                </c:pt>
                <c:pt idx="111">
                  <c:v>86.499999999999986</c:v>
                </c:pt>
                <c:pt idx="112">
                  <c:v>86.999999999999986</c:v>
                </c:pt>
                <c:pt idx="113">
                  <c:v>87.499999999999986</c:v>
                </c:pt>
                <c:pt idx="114">
                  <c:v>87.899999999999991</c:v>
                </c:pt>
                <c:pt idx="115">
                  <c:v>88.3</c:v>
                </c:pt>
                <c:pt idx="116">
                  <c:v>88.7</c:v>
                </c:pt>
                <c:pt idx="117">
                  <c:v>89.100000000000009</c:v>
                </c:pt>
                <c:pt idx="118">
                  <c:v>89.500000000000014</c:v>
                </c:pt>
                <c:pt idx="119">
                  <c:v>89.90000000000002</c:v>
                </c:pt>
                <c:pt idx="120">
                  <c:v>90.300000000000026</c:v>
                </c:pt>
                <c:pt idx="121">
                  <c:v>90.700000000000031</c:v>
                </c:pt>
                <c:pt idx="122">
                  <c:v>91.100000000000037</c:v>
                </c:pt>
                <c:pt idx="123">
                  <c:v>91.500000000000043</c:v>
                </c:pt>
                <c:pt idx="124">
                  <c:v>91.900000000000048</c:v>
                </c:pt>
                <c:pt idx="125">
                  <c:v>92.300000000000054</c:v>
                </c:pt>
                <c:pt idx="126">
                  <c:v>92.70000000000006</c:v>
                </c:pt>
                <c:pt idx="127">
                  <c:v>93.100000000000065</c:v>
                </c:pt>
                <c:pt idx="128">
                  <c:v>93.500000000000071</c:v>
                </c:pt>
                <c:pt idx="129">
                  <c:v>93.900000000000077</c:v>
                </c:pt>
                <c:pt idx="130">
                  <c:v>94.300000000000082</c:v>
                </c:pt>
                <c:pt idx="131">
                  <c:v>94.700000000000088</c:v>
                </c:pt>
                <c:pt idx="132">
                  <c:v>95.100000000000094</c:v>
                </c:pt>
                <c:pt idx="133">
                  <c:v>95.500000000000099</c:v>
                </c:pt>
                <c:pt idx="134">
                  <c:v>95.900000000000105</c:v>
                </c:pt>
                <c:pt idx="135">
                  <c:v>96.300000000000111</c:v>
                </c:pt>
                <c:pt idx="136">
                  <c:v>96.700000000000117</c:v>
                </c:pt>
                <c:pt idx="137">
                  <c:v>97.100000000000122</c:v>
                </c:pt>
                <c:pt idx="138">
                  <c:v>97.500000000000128</c:v>
                </c:pt>
                <c:pt idx="139">
                  <c:v>97.900000000000134</c:v>
                </c:pt>
                <c:pt idx="140">
                  <c:v>98.300000000000139</c:v>
                </c:pt>
                <c:pt idx="141">
                  <c:v>98.700000000000145</c:v>
                </c:pt>
                <c:pt idx="142">
                  <c:v>99.100000000000151</c:v>
                </c:pt>
                <c:pt idx="143">
                  <c:v>99.500000000000156</c:v>
                </c:pt>
                <c:pt idx="144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129-4FB4-956E-27E806D59F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1722656"/>
        <c:axId val="2111721696"/>
      </c:scatterChart>
      <c:valAx>
        <c:axId val="2111722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721696"/>
        <c:crosses val="autoZero"/>
        <c:crossBetween val="midCat"/>
      </c:valAx>
      <c:valAx>
        <c:axId val="21117216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Precipitation 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7226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PMP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'ignore this sheet'!$K$1</c:f>
              <c:strCache>
                <c:ptCount val="1"/>
                <c:pt idx="0">
                  <c:v>PMP old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'ignore this sheet'!$J$2:$J$146</c:f>
              <c:numCache>
                <c:formatCode>General</c:formatCode>
                <c:ptCount val="145"/>
                <c:pt idx="0">
                  <c:v>0</c:v>
                </c:pt>
                <c:pt idx="1">
                  <c:v>0.16666666666666666</c:v>
                </c:pt>
                <c:pt idx="2">
                  <c:v>0.33333333333333331</c:v>
                </c:pt>
                <c:pt idx="3">
                  <c:v>0.5</c:v>
                </c:pt>
                <c:pt idx="4">
                  <c:v>0.66666666666666663</c:v>
                </c:pt>
                <c:pt idx="5">
                  <c:v>0.83333333333333337</c:v>
                </c:pt>
                <c:pt idx="6">
                  <c:v>1</c:v>
                </c:pt>
                <c:pt idx="7">
                  <c:v>1.1666666666666667</c:v>
                </c:pt>
                <c:pt idx="8">
                  <c:v>1.3333333333333333</c:v>
                </c:pt>
                <c:pt idx="9">
                  <c:v>1.5</c:v>
                </c:pt>
                <c:pt idx="10">
                  <c:v>1.6666666666666667</c:v>
                </c:pt>
                <c:pt idx="11">
                  <c:v>1.8333333333333333</c:v>
                </c:pt>
                <c:pt idx="12">
                  <c:v>2</c:v>
                </c:pt>
                <c:pt idx="13">
                  <c:v>2.1666666666666665</c:v>
                </c:pt>
                <c:pt idx="14">
                  <c:v>2.3333333333333335</c:v>
                </c:pt>
                <c:pt idx="15">
                  <c:v>2.5</c:v>
                </c:pt>
                <c:pt idx="16">
                  <c:v>2.6666666666666665</c:v>
                </c:pt>
                <c:pt idx="17">
                  <c:v>2.8333333333333335</c:v>
                </c:pt>
                <c:pt idx="18">
                  <c:v>3</c:v>
                </c:pt>
                <c:pt idx="19">
                  <c:v>3.1666666666666665</c:v>
                </c:pt>
                <c:pt idx="20">
                  <c:v>3.3333333333333335</c:v>
                </c:pt>
                <c:pt idx="21">
                  <c:v>3.5</c:v>
                </c:pt>
                <c:pt idx="22">
                  <c:v>3.6666666666666665</c:v>
                </c:pt>
                <c:pt idx="23">
                  <c:v>3.8333333333333335</c:v>
                </c:pt>
                <c:pt idx="24">
                  <c:v>4</c:v>
                </c:pt>
                <c:pt idx="25">
                  <c:v>4.166666666666667</c:v>
                </c:pt>
                <c:pt idx="26">
                  <c:v>4.333333333333333</c:v>
                </c:pt>
                <c:pt idx="27">
                  <c:v>4.5</c:v>
                </c:pt>
                <c:pt idx="28">
                  <c:v>4.666666666666667</c:v>
                </c:pt>
                <c:pt idx="29">
                  <c:v>4.833333333333333</c:v>
                </c:pt>
                <c:pt idx="30">
                  <c:v>5</c:v>
                </c:pt>
                <c:pt idx="31">
                  <c:v>5.166666666666667</c:v>
                </c:pt>
                <c:pt idx="32">
                  <c:v>5.333333333333333</c:v>
                </c:pt>
                <c:pt idx="33">
                  <c:v>5.5</c:v>
                </c:pt>
                <c:pt idx="34">
                  <c:v>5.666666666666667</c:v>
                </c:pt>
                <c:pt idx="35">
                  <c:v>5.833333333333333</c:v>
                </c:pt>
                <c:pt idx="36">
                  <c:v>6</c:v>
                </c:pt>
                <c:pt idx="37">
                  <c:v>6.166666666666667</c:v>
                </c:pt>
                <c:pt idx="38">
                  <c:v>6.333333333333333</c:v>
                </c:pt>
                <c:pt idx="39">
                  <c:v>6.5</c:v>
                </c:pt>
                <c:pt idx="40">
                  <c:v>6.666666666666667</c:v>
                </c:pt>
                <c:pt idx="41">
                  <c:v>6.833333333333333</c:v>
                </c:pt>
                <c:pt idx="42">
                  <c:v>7</c:v>
                </c:pt>
                <c:pt idx="43">
                  <c:v>7.166666666666667</c:v>
                </c:pt>
                <c:pt idx="44">
                  <c:v>7.333333333333333</c:v>
                </c:pt>
                <c:pt idx="45">
                  <c:v>7.5</c:v>
                </c:pt>
                <c:pt idx="46">
                  <c:v>7.666666666666667</c:v>
                </c:pt>
                <c:pt idx="47">
                  <c:v>7.833333333333333</c:v>
                </c:pt>
                <c:pt idx="48">
                  <c:v>8</c:v>
                </c:pt>
                <c:pt idx="49">
                  <c:v>8.1666666666666661</c:v>
                </c:pt>
                <c:pt idx="50">
                  <c:v>8.3333333333333339</c:v>
                </c:pt>
                <c:pt idx="51">
                  <c:v>8.5</c:v>
                </c:pt>
                <c:pt idx="52">
                  <c:v>8.6666666666666661</c:v>
                </c:pt>
                <c:pt idx="53">
                  <c:v>8.8333333333333339</c:v>
                </c:pt>
                <c:pt idx="54">
                  <c:v>9</c:v>
                </c:pt>
                <c:pt idx="55">
                  <c:v>9.1666666666666661</c:v>
                </c:pt>
                <c:pt idx="56">
                  <c:v>9.3333333333333339</c:v>
                </c:pt>
                <c:pt idx="57">
                  <c:v>9.5</c:v>
                </c:pt>
                <c:pt idx="58">
                  <c:v>9.6666666666666661</c:v>
                </c:pt>
                <c:pt idx="59">
                  <c:v>9.8333333333333339</c:v>
                </c:pt>
                <c:pt idx="60">
                  <c:v>10</c:v>
                </c:pt>
                <c:pt idx="61">
                  <c:v>10.166666666666666</c:v>
                </c:pt>
                <c:pt idx="62">
                  <c:v>10.333333333333334</c:v>
                </c:pt>
                <c:pt idx="63">
                  <c:v>10.5</c:v>
                </c:pt>
                <c:pt idx="64">
                  <c:v>10.666666666666666</c:v>
                </c:pt>
                <c:pt idx="65">
                  <c:v>10.833333333333334</c:v>
                </c:pt>
                <c:pt idx="66">
                  <c:v>11</c:v>
                </c:pt>
                <c:pt idx="67">
                  <c:v>11.166666666666666</c:v>
                </c:pt>
                <c:pt idx="68">
                  <c:v>11.333333333333334</c:v>
                </c:pt>
                <c:pt idx="69">
                  <c:v>11.5</c:v>
                </c:pt>
                <c:pt idx="70">
                  <c:v>11.666666666666666</c:v>
                </c:pt>
                <c:pt idx="71">
                  <c:v>11.833333333333334</c:v>
                </c:pt>
                <c:pt idx="72">
                  <c:v>12</c:v>
                </c:pt>
                <c:pt idx="73">
                  <c:v>12.166666666666666</c:v>
                </c:pt>
                <c:pt idx="74">
                  <c:v>12.333333333333334</c:v>
                </c:pt>
                <c:pt idx="75">
                  <c:v>12.5</c:v>
                </c:pt>
                <c:pt idx="76">
                  <c:v>12.666666666666666</c:v>
                </c:pt>
                <c:pt idx="77">
                  <c:v>12.833333333333334</c:v>
                </c:pt>
                <c:pt idx="78">
                  <c:v>13</c:v>
                </c:pt>
                <c:pt idx="79">
                  <c:v>13.166666666666666</c:v>
                </c:pt>
                <c:pt idx="80">
                  <c:v>13.333333333333334</c:v>
                </c:pt>
                <c:pt idx="81">
                  <c:v>13.5</c:v>
                </c:pt>
                <c:pt idx="82">
                  <c:v>13.666666666666666</c:v>
                </c:pt>
                <c:pt idx="83">
                  <c:v>13.833333333333334</c:v>
                </c:pt>
                <c:pt idx="84">
                  <c:v>14</c:v>
                </c:pt>
                <c:pt idx="85">
                  <c:v>14.166666666666666</c:v>
                </c:pt>
                <c:pt idx="86">
                  <c:v>14.333333333333334</c:v>
                </c:pt>
                <c:pt idx="87">
                  <c:v>14.5</c:v>
                </c:pt>
                <c:pt idx="88">
                  <c:v>14.666666666666666</c:v>
                </c:pt>
                <c:pt idx="89">
                  <c:v>14.833333333333334</c:v>
                </c:pt>
                <c:pt idx="90">
                  <c:v>15</c:v>
                </c:pt>
                <c:pt idx="91">
                  <c:v>15.166666666666666</c:v>
                </c:pt>
                <c:pt idx="92">
                  <c:v>15.333333333333334</c:v>
                </c:pt>
                <c:pt idx="93">
                  <c:v>15.5</c:v>
                </c:pt>
                <c:pt idx="94">
                  <c:v>15.666666666666666</c:v>
                </c:pt>
                <c:pt idx="95">
                  <c:v>15.833333333333334</c:v>
                </c:pt>
                <c:pt idx="96">
                  <c:v>16</c:v>
                </c:pt>
                <c:pt idx="97">
                  <c:v>16.166666666666668</c:v>
                </c:pt>
                <c:pt idx="98">
                  <c:v>16.333333333333332</c:v>
                </c:pt>
                <c:pt idx="99">
                  <c:v>16.5</c:v>
                </c:pt>
                <c:pt idx="100">
                  <c:v>16.666666666666668</c:v>
                </c:pt>
                <c:pt idx="101">
                  <c:v>16.833333333333332</c:v>
                </c:pt>
                <c:pt idx="102">
                  <c:v>17</c:v>
                </c:pt>
                <c:pt idx="103">
                  <c:v>17.166666666666668</c:v>
                </c:pt>
                <c:pt idx="104">
                  <c:v>17.333333333333332</c:v>
                </c:pt>
                <c:pt idx="105">
                  <c:v>17.5</c:v>
                </c:pt>
                <c:pt idx="106">
                  <c:v>17.666666666666668</c:v>
                </c:pt>
                <c:pt idx="107">
                  <c:v>17.833333333333332</c:v>
                </c:pt>
                <c:pt idx="108">
                  <c:v>18</c:v>
                </c:pt>
                <c:pt idx="109">
                  <c:v>18.166666666666668</c:v>
                </c:pt>
                <c:pt idx="110">
                  <c:v>18.333333333333332</c:v>
                </c:pt>
                <c:pt idx="111">
                  <c:v>18.5</c:v>
                </c:pt>
                <c:pt idx="112">
                  <c:v>18.666666666666668</c:v>
                </c:pt>
                <c:pt idx="113">
                  <c:v>18.833333333333332</c:v>
                </c:pt>
                <c:pt idx="114">
                  <c:v>19</c:v>
                </c:pt>
                <c:pt idx="115">
                  <c:v>19.166666666666668</c:v>
                </c:pt>
                <c:pt idx="116">
                  <c:v>19.333333333333332</c:v>
                </c:pt>
                <c:pt idx="117">
                  <c:v>19.5</c:v>
                </c:pt>
                <c:pt idx="118">
                  <c:v>19.666666666666668</c:v>
                </c:pt>
                <c:pt idx="119">
                  <c:v>19.833333333333332</c:v>
                </c:pt>
                <c:pt idx="120">
                  <c:v>20</c:v>
                </c:pt>
                <c:pt idx="121">
                  <c:v>20.166666666666668</c:v>
                </c:pt>
                <c:pt idx="122">
                  <c:v>20.333333333333332</c:v>
                </c:pt>
                <c:pt idx="123">
                  <c:v>20.5</c:v>
                </c:pt>
                <c:pt idx="124">
                  <c:v>20.666666666666668</c:v>
                </c:pt>
                <c:pt idx="125">
                  <c:v>20.833333333333332</c:v>
                </c:pt>
                <c:pt idx="126">
                  <c:v>21</c:v>
                </c:pt>
                <c:pt idx="127">
                  <c:v>21.166666666666668</c:v>
                </c:pt>
                <c:pt idx="128">
                  <c:v>21.333333333333332</c:v>
                </c:pt>
                <c:pt idx="129">
                  <c:v>21.5</c:v>
                </c:pt>
                <c:pt idx="130">
                  <c:v>21.666666666666668</c:v>
                </c:pt>
                <c:pt idx="131">
                  <c:v>21.833333333333332</c:v>
                </c:pt>
                <c:pt idx="132">
                  <c:v>22</c:v>
                </c:pt>
                <c:pt idx="133">
                  <c:v>22.166666666666668</c:v>
                </c:pt>
                <c:pt idx="134">
                  <c:v>22.333333333333332</c:v>
                </c:pt>
                <c:pt idx="135">
                  <c:v>22.5</c:v>
                </c:pt>
                <c:pt idx="136">
                  <c:v>22.666666666666668</c:v>
                </c:pt>
                <c:pt idx="137">
                  <c:v>22.833333333333332</c:v>
                </c:pt>
                <c:pt idx="138">
                  <c:v>23</c:v>
                </c:pt>
                <c:pt idx="139">
                  <c:v>23.166666666666668</c:v>
                </c:pt>
                <c:pt idx="140">
                  <c:v>23.333333333333332</c:v>
                </c:pt>
                <c:pt idx="141">
                  <c:v>23.5</c:v>
                </c:pt>
                <c:pt idx="142">
                  <c:v>23.666666666666668</c:v>
                </c:pt>
                <c:pt idx="143">
                  <c:v>23.833333333333332</c:v>
                </c:pt>
                <c:pt idx="144">
                  <c:v>24</c:v>
                </c:pt>
              </c:numCache>
            </c:numRef>
          </c:xVal>
          <c:yVal>
            <c:numRef>
              <c:f>'ignore this sheet'!$K$2:$K$146</c:f>
              <c:numCache>
                <c:formatCode>General</c:formatCode>
                <c:ptCount val="1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</c:v>
                </c:pt>
                <c:pt idx="17">
                  <c:v>0</c:v>
                </c:pt>
                <c:pt idx="18">
                  <c:v>9.9999999999999978E-2</c:v>
                </c:pt>
                <c:pt idx="19">
                  <c:v>0.10000000000000003</c:v>
                </c:pt>
                <c:pt idx="20">
                  <c:v>0</c:v>
                </c:pt>
                <c:pt idx="21">
                  <c:v>9.9999999999999978E-2</c:v>
                </c:pt>
                <c:pt idx="22">
                  <c:v>9.9999999999999978E-2</c:v>
                </c:pt>
                <c:pt idx="23">
                  <c:v>9.9999999999999978E-2</c:v>
                </c:pt>
                <c:pt idx="24">
                  <c:v>0.10000000000000009</c:v>
                </c:pt>
                <c:pt idx="25">
                  <c:v>9.9999999999999978E-2</c:v>
                </c:pt>
                <c:pt idx="26">
                  <c:v>9.9999999999999978E-2</c:v>
                </c:pt>
                <c:pt idx="27">
                  <c:v>0.10000000000000009</c:v>
                </c:pt>
                <c:pt idx="28">
                  <c:v>9.9999999999999867E-2</c:v>
                </c:pt>
                <c:pt idx="29">
                  <c:v>0.10000000000000009</c:v>
                </c:pt>
                <c:pt idx="30">
                  <c:v>9.9999999999999867E-2</c:v>
                </c:pt>
                <c:pt idx="31">
                  <c:v>0.10000000000000009</c:v>
                </c:pt>
                <c:pt idx="32">
                  <c:v>0.19999999999999996</c:v>
                </c:pt>
                <c:pt idx="33">
                  <c:v>0.10000000000000009</c:v>
                </c:pt>
                <c:pt idx="34">
                  <c:v>0.19999999999999996</c:v>
                </c:pt>
                <c:pt idx="35">
                  <c:v>0.20000000000000018</c:v>
                </c:pt>
                <c:pt idx="36">
                  <c:v>0.19999999999999973</c:v>
                </c:pt>
                <c:pt idx="37">
                  <c:v>0.30000000000000027</c:v>
                </c:pt>
                <c:pt idx="38">
                  <c:v>0.19999999999999973</c:v>
                </c:pt>
                <c:pt idx="39">
                  <c:v>0.30000000000000027</c:v>
                </c:pt>
                <c:pt idx="40">
                  <c:v>0.29999999999999982</c:v>
                </c:pt>
                <c:pt idx="41">
                  <c:v>0.29999999999999982</c:v>
                </c:pt>
                <c:pt idx="42">
                  <c:v>0.29999999999999982</c:v>
                </c:pt>
                <c:pt idx="43">
                  <c:v>0.30000000000000071</c:v>
                </c:pt>
                <c:pt idx="44">
                  <c:v>0.39999999999999947</c:v>
                </c:pt>
                <c:pt idx="45">
                  <c:v>0.40000000000000036</c:v>
                </c:pt>
                <c:pt idx="46">
                  <c:v>0.39999999999999947</c:v>
                </c:pt>
                <c:pt idx="47">
                  <c:v>0.40000000000000036</c:v>
                </c:pt>
                <c:pt idx="48">
                  <c:v>0.5</c:v>
                </c:pt>
                <c:pt idx="49">
                  <c:v>0.59999999999999964</c:v>
                </c:pt>
                <c:pt idx="50">
                  <c:v>0.70000000000000018</c:v>
                </c:pt>
                <c:pt idx="51">
                  <c:v>0.60000000000000053</c:v>
                </c:pt>
                <c:pt idx="52">
                  <c:v>0.79999999999999893</c:v>
                </c:pt>
                <c:pt idx="53">
                  <c:v>0.80000000000000071</c:v>
                </c:pt>
                <c:pt idx="54">
                  <c:v>0.90000000000000036</c:v>
                </c:pt>
                <c:pt idx="55">
                  <c:v>0.90000000000000036</c:v>
                </c:pt>
                <c:pt idx="56">
                  <c:v>1.1999999999999993</c:v>
                </c:pt>
                <c:pt idx="57">
                  <c:v>1.1999999999999993</c:v>
                </c:pt>
                <c:pt idx="58">
                  <c:v>1.4000000000000004</c:v>
                </c:pt>
                <c:pt idx="59">
                  <c:v>1.5000000000000018</c:v>
                </c:pt>
                <c:pt idx="60">
                  <c:v>1.6999999999999993</c:v>
                </c:pt>
                <c:pt idx="61">
                  <c:v>1.8000000000000007</c:v>
                </c:pt>
                <c:pt idx="62">
                  <c:v>2</c:v>
                </c:pt>
                <c:pt idx="63">
                  <c:v>2</c:v>
                </c:pt>
                <c:pt idx="64">
                  <c:v>2.3999999999999986</c:v>
                </c:pt>
                <c:pt idx="65">
                  <c:v>2.6000000000000014</c:v>
                </c:pt>
                <c:pt idx="66">
                  <c:v>2.7999999999999972</c:v>
                </c:pt>
                <c:pt idx="67">
                  <c:v>2.8000000000000043</c:v>
                </c:pt>
                <c:pt idx="68">
                  <c:v>3</c:v>
                </c:pt>
                <c:pt idx="69">
                  <c:v>3.5999999999999943</c:v>
                </c:pt>
                <c:pt idx="70">
                  <c:v>3.5</c:v>
                </c:pt>
                <c:pt idx="71">
                  <c:v>4.6000000000000014</c:v>
                </c:pt>
                <c:pt idx="72">
                  <c:v>4.3000000000000043</c:v>
                </c:pt>
                <c:pt idx="73">
                  <c:v>3.7999999999999972</c:v>
                </c:pt>
                <c:pt idx="74">
                  <c:v>3.6000000000000014</c:v>
                </c:pt>
                <c:pt idx="75">
                  <c:v>2.9999999999999929</c:v>
                </c:pt>
                <c:pt idx="76">
                  <c:v>3</c:v>
                </c:pt>
                <c:pt idx="77">
                  <c:v>2.7000000000000028</c:v>
                </c:pt>
                <c:pt idx="78">
                  <c:v>2.7000000000000028</c:v>
                </c:pt>
                <c:pt idx="79">
                  <c:v>2.2000000000000028</c:v>
                </c:pt>
                <c:pt idx="80">
                  <c:v>2.0999999999999943</c:v>
                </c:pt>
                <c:pt idx="81">
                  <c:v>2</c:v>
                </c:pt>
                <c:pt idx="82">
                  <c:v>1.7999999999999972</c:v>
                </c:pt>
                <c:pt idx="83">
                  <c:v>1.8000000000000114</c:v>
                </c:pt>
                <c:pt idx="84">
                  <c:v>1.3999999999999915</c:v>
                </c:pt>
                <c:pt idx="85">
                  <c:v>1.4000000000000057</c:v>
                </c:pt>
                <c:pt idx="86">
                  <c:v>1.2000000000000028</c:v>
                </c:pt>
                <c:pt idx="87">
                  <c:v>1.1999999999999886</c:v>
                </c:pt>
                <c:pt idx="88">
                  <c:v>0.90000000000000568</c:v>
                </c:pt>
                <c:pt idx="89">
                  <c:v>0.90000000000000568</c:v>
                </c:pt>
                <c:pt idx="90">
                  <c:v>0.89999999999999147</c:v>
                </c:pt>
                <c:pt idx="91">
                  <c:v>0.70000000000000284</c:v>
                </c:pt>
                <c:pt idx="92">
                  <c:v>0.70000000000000284</c:v>
                </c:pt>
                <c:pt idx="93">
                  <c:v>0.70000000000000284</c:v>
                </c:pt>
                <c:pt idx="94">
                  <c:v>0.5</c:v>
                </c:pt>
                <c:pt idx="95">
                  <c:v>0.59999999999999432</c:v>
                </c:pt>
                <c:pt idx="96">
                  <c:v>0.5</c:v>
                </c:pt>
                <c:pt idx="97">
                  <c:v>0.40000000000000568</c:v>
                </c:pt>
                <c:pt idx="98">
                  <c:v>0.39999999999999147</c:v>
                </c:pt>
                <c:pt idx="99">
                  <c:v>0.40000000000000568</c:v>
                </c:pt>
                <c:pt idx="100">
                  <c:v>0.29999999999999716</c:v>
                </c:pt>
                <c:pt idx="101">
                  <c:v>0.29999999999999716</c:v>
                </c:pt>
                <c:pt idx="102">
                  <c:v>0.29999999999999716</c:v>
                </c:pt>
                <c:pt idx="103">
                  <c:v>0.30000000000001137</c:v>
                </c:pt>
                <c:pt idx="104">
                  <c:v>0.29999999999999716</c:v>
                </c:pt>
                <c:pt idx="105">
                  <c:v>0.20000000000000284</c:v>
                </c:pt>
                <c:pt idx="106">
                  <c:v>0.29999999999999716</c:v>
                </c:pt>
                <c:pt idx="107">
                  <c:v>0.20000000000000284</c:v>
                </c:pt>
                <c:pt idx="108">
                  <c:v>0.19999999999998863</c:v>
                </c:pt>
                <c:pt idx="109">
                  <c:v>0.20000000000000284</c:v>
                </c:pt>
                <c:pt idx="110">
                  <c:v>0.10000000000000853</c:v>
                </c:pt>
                <c:pt idx="111">
                  <c:v>0.19999999999998863</c:v>
                </c:pt>
                <c:pt idx="112">
                  <c:v>0.10000000000000853</c:v>
                </c:pt>
                <c:pt idx="113">
                  <c:v>9.9999999999994316E-2</c:v>
                </c:pt>
                <c:pt idx="114">
                  <c:v>0.10000000000000853</c:v>
                </c:pt>
                <c:pt idx="115">
                  <c:v>9.9999999999994316E-2</c:v>
                </c:pt>
                <c:pt idx="116">
                  <c:v>9.9999999999994316E-2</c:v>
                </c:pt>
                <c:pt idx="117">
                  <c:v>0.10000000000000853</c:v>
                </c:pt>
                <c:pt idx="118">
                  <c:v>9.9999999999994316E-2</c:v>
                </c:pt>
                <c:pt idx="119">
                  <c:v>0.10000000000000853</c:v>
                </c:pt>
                <c:pt idx="120">
                  <c:v>9.9999999999994316E-2</c:v>
                </c:pt>
                <c:pt idx="121">
                  <c:v>9.9999999999994316E-2</c:v>
                </c:pt>
                <c:pt idx="122">
                  <c:v>0.10000000000000853</c:v>
                </c:pt>
                <c:pt idx="123">
                  <c:v>0</c:v>
                </c:pt>
                <c:pt idx="124">
                  <c:v>9.9999999999994316E-2</c:v>
                </c:pt>
                <c:pt idx="125">
                  <c:v>0.10000000000000853</c:v>
                </c:pt>
                <c:pt idx="126">
                  <c:v>9.9999999999994316E-2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90-43AB-9943-315CB25CA744}"/>
            </c:ext>
          </c:extLst>
        </c:ser>
        <c:ser>
          <c:idx val="1"/>
          <c:order val="1"/>
          <c:tx>
            <c:strRef>
              <c:f>'ignore this sheet'!$L$1</c:f>
              <c:strCache>
                <c:ptCount val="1"/>
                <c:pt idx="0">
                  <c:v>PMP new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'ignore this sheet'!$J$2:$J$146</c:f>
              <c:numCache>
                <c:formatCode>General</c:formatCode>
                <c:ptCount val="145"/>
                <c:pt idx="0">
                  <c:v>0</c:v>
                </c:pt>
                <c:pt idx="1">
                  <c:v>0.16666666666666666</c:v>
                </c:pt>
                <c:pt idx="2">
                  <c:v>0.33333333333333331</c:v>
                </c:pt>
                <c:pt idx="3">
                  <c:v>0.5</c:v>
                </c:pt>
                <c:pt idx="4">
                  <c:v>0.66666666666666663</c:v>
                </c:pt>
                <c:pt idx="5">
                  <c:v>0.83333333333333337</c:v>
                </c:pt>
                <c:pt idx="6">
                  <c:v>1</c:v>
                </c:pt>
                <c:pt idx="7">
                  <c:v>1.1666666666666667</c:v>
                </c:pt>
                <c:pt idx="8">
                  <c:v>1.3333333333333333</c:v>
                </c:pt>
                <c:pt idx="9">
                  <c:v>1.5</c:v>
                </c:pt>
                <c:pt idx="10">
                  <c:v>1.6666666666666667</c:v>
                </c:pt>
                <c:pt idx="11">
                  <c:v>1.8333333333333333</c:v>
                </c:pt>
                <c:pt idx="12">
                  <c:v>2</c:v>
                </c:pt>
                <c:pt idx="13">
                  <c:v>2.1666666666666665</c:v>
                </c:pt>
                <c:pt idx="14">
                  <c:v>2.3333333333333335</c:v>
                </c:pt>
                <c:pt idx="15">
                  <c:v>2.5</c:v>
                </c:pt>
                <c:pt idx="16">
                  <c:v>2.6666666666666665</c:v>
                </c:pt>
                <c:pt idx="17">
                  <c:v>2.8333333333333335</c:v>
                </c:pt>
                <c:pt idx="18">
                  <c:v>3</c:v>
                </c:pt>
                <c:pt idx="19">
                  <c:v>3.1666666666666665</c:v>
                </c:pt>
                <c:pt idx="20">
                  <c:v>3.3333333333333335</c:v>
                </c:pt>
                <c:pt idx="21">
                  <c:v>3.5</c:v>
                </c:pt>
                <c:pt idx="22">
                  <c:v>3.6666666666666665</c:v>
                </c:pt>
                <c:pt idx="23">
                  <c:v>3.8333333333333335</c:v>
                </c:pt>
                <c:pt idx="24">
                  <c:v>4</c:v>
                </c:pt>
                <c:pt idx="25">
                  <c:v>4.166666666666667</c:v>
                </c:pt>
                <c:pt idx="26">
                  <c:v>4.333333333333333</c:v>
                </c:pt>
                <c:pt idx="27">
                  <c:v>4.5</c:v>
                </c:pt>
                <c:pt idx="28">
                  <c:v>4.666666666666667</c:v>
                </c:pt>
                <c:pt idx="29">
                  <c:v>4.833333333333333</c:v>
                </c:pt>
                <c:pt idx="30">
                  <c:v>5</c:v>
                </c:pt>
                <c:pt idx="31">
                  <c:v>5.166666666666667</c:v>
                </c:pt>
                <c:pt idx="32">
                  <c:v>5.333333333333333</c:v>
                </c:pt>
                <c:pt idx="33">
                  <c:v>5.5</c:v>
                </c:pt>
                <c:pt idx="34">
                  <c:v>5.666666666666667</c:v>
                </c:pt>
                <c:pt idx="35">
                  <c:v>5.833333333333333</c:v>
                </c:pt>
                <c:pt idx="36">
                  <c:v>6</c:v>
                </c:pt>
                <c:pt idx="37">
                  <c:v>6.166666666666667</c:v>
                </c:pt>
                <c:pt idx="38">
                  <c:v>6.333333333333333</c:v>
                </c:pt>
                <c:pt idx="39">
                  <c:v>6.5</c:v>
                </c:pt>
                <c:pt idx="40">
                  <c:v>6.666666666666667</c:v>
                </c:pt>
                <c:pt idx="41">
                  <c:v>6.833333333333333</c:v>
                </c:pt>
                <c:pt idx="42">
                  <c:v>7</c:v>
                </c:pt>
                <c:pt idx="43">
                  <c:v>7.166666666666667</c:v>
                </c:pt>
                <c:pt idx="44">
                  <c:v>7.333333333333333</c:v>
                </c:pt>
                <c:pt idx="45">
                  <c:v>7.5</c:v>
                </c:pt>
                <c:pt idx="46">
                  <c:v>7.666666666666667</c:v>
                </c:pt>
                <c:pt idx="47">
                  <c:v>7.833333333333333</c:v>
                </c:pt>
                <c:pt idx="48">
                  <c:v>8</c:v>
                </c:pt>
                <c:pt idx="49">
                  <c:v>8.1666666666666661</c:v>
                </c:pt>
                <c:pt idx="50">
                  <c:v>8.3333333333333339</c:v>
                </c:pt>
                <c:pt idx="51">
                  <c:v>8.5</c:v>
                </c:pt>
                <c:pt idx="52">
                  <c:v>8.6666666666666661</c:v>
                </c:pt>
                <c:pt idx="53">
                  <c:v>8.8333333333333339</c:v>
                </c:pt>
                <c:pt idx="54">
                  <c:v>9</c:v>
                </c:pt>
                <c:pt idx="55">
                  <c:v>9.1666666666666661</c:v>
                </c:pt>
                <c:pt idx="56">
                  <c:v>9.3333333333333339</c:v>
                </c:pt>
                <c:pt idx="57">
                  <c:v>9.5</c:v>
                </c:pt>
                <c:pt idx="58">
                  <c:v>9.6666666666666661</c:v>
                </c:pt>
                <c:pt idx="59">
                  <c:v>9.8333333333333339</c:v>
                </c:pt>
                <c:pt idx="60">
                  <c:v>10</c:v>
                </c:pt>
                <c:pt idx="61">
                  <c:v>10.166666666666666</c:v>
                </c:pt>
                <c:pt idx="62">
                  <c:v>10.333333333333334</c:v>
                </c:pt>
                <c:pt idx="63">
                  <c:v>10.5</c:v>
                </c:pt>
                <c:pt idx="64">
                  <c:v>10.666666666666666</c:v>
                </c:pt>
                <c:pt idx="65">
                  <c:v>10.833333333333334</c:v>
                </c:pt>
                <c:pt idx="66">
                  <c:v>11</c:v>
                </c:pt>
                <c:pt idx="67">
                  <c:v>11.166666666666666</c:v>
                </c:pt>
                <c:pt idx="68">
                  <c:v>11.333333333333334</c:v>
                </c:pt>
                <c:pt idx="69">
                  <c:v>11.5</c:v>
                </c:pt>
                <c:pt idx="70">
                  <c:v>11.666666666666666</c:v>
                </c:pt>
                <c:pt idx="71">
                  <c:v>11.833333333333334</c:v>
                </c:pt>
                <c:pt idx="72">
                  <c:v>12</c:v>
                </c:pt>
                <c:pt idx="73">
                  <c:v>12.166666666666666</c:v>
                </c:pt>
                <c:pt idx="74">
                  <c:v>12.333333333333334</c:v>
                </c:pt>
                <c:pt idx="75">
                  <c:v>12.5</c:v>
                </c:pt>
                <c:pt idx="76">
                  <c:v>12.666666666666666</c:v>
                </c:pt>
                <c:pt idx="77">
                  <c:v>12.833333333333334</c:v>
                </c:pt>
                <c:pt idx="78">
                  <c:v>13</c:v>
                </c:pt>
                <c:pt idx="79">
                  <c:v>13.166666666666666</c:v>
                </c:pt>
                <c:pt idx="80">
                  <c:v>13.333333333333334</c:v>
                </c:pt>
                <c:pt idx="81">
                  <c:v>13.5</c:v>
                </c:pt>
                <c:pt idx="82">
                  <c:v>13.666666666666666</c:v>
                </c:pt>
                <c:pt idx="83">
                  <c:v>13.833333333333334</c:v>
                </c:pt>
                <c:pt idx="84">
                  <c:v>14</c:v>
                </c:pt>
                <c:pt idx="85">
                  <c:v>14.166666666666666</c:v>
                </c:pt>
                <c:pt idx="86">
                  <c:v>14.333333333333334</c:v>
                </c:pt>
                <c:pt idx="87">
                  <c:v>14.5</c:v>
                </c:pt>
                <c:pt idx="88">
                  <c:v>14.666666666666666</c:v>
                </c:pt>
                <c:pt idx="89">
                  <c:v>14.833333333333334</c:v>
                </c:pt>
                <c:pt idx="90">
                  <c:v>15</c:v>
                </c:pt>
                <c:pt idx="91">
                  <c:v>15.166666666666666</c:v>
                </c:pt>
                <c:pt idx="92">
                  <c:v>15.333333333333334</c:v>
                </c:pt>
                <c:pt idx="93">
                  <c:v>15.5</c:v>
                </c:pt>
                <c:pt idx="94">
                  <c:v>15.666666666666666</c:v>
                </c:pt>
                <c:pt idx="95">
                  <c:v>15.833333333333334</c:v>
                </c:pt>
                <c:pt idx="96">
                  <c:v>16</c:v>
                </c:pt>
                <c:pt idx="97">
                  <c:v>16.166666666666668</c:v>
                </c:pt>
                <c:pt idx="98">
                  <c:v>16.333333333333332</c:v>
                </c:pt>
                <c:pt idx="99">
                  <c:v>16.5</c:v>
                </c:pt>
                <c:pt idx="100">
                  <c:v>16.666666666666668</c:v>
                </c:pt>
                <c:pt idx="101">
                  <c:v>16.833333333333332</c:v>
                </c:pt>
                <c:pt idx="102">
                  <c:v>17</c:v>
                </c:pt>
                <c:pt idx="103">
                  <c:v>17.166666666666668</c:v>
                </c:pt>
                <c:pt idx="104">
                  <c:v>17.333333333333332</c:v>
                </c:pt>
                <c:pt idx="105">
                  <c:v>17.5</c:v>
                </c:pt>
                <c:pt idx="106">
                  <c:v>17.666666666666668</c:v>
                </c:pt>
                <c:pt idx="107">
                  <c:v>17.833333333333332</c:v>
                </c:pt>
                <c:pt idx="108">
                  <c:v>18</c:v>
                </c:pt>
                <c:pt idx="109">
                  <c:v>18.166666666666668</c:v>
                </c:pt>
                <c:pt idx="110">
                  <c:v>18.333333333333332</c:v>
                </c:pt>
                <c:pt idx="111">
                  <c:v>18.5</c:v>
                </c:pt>
                <c:pt idx="112">
                  <c:v>18.666666666666668</c:v>
                </c:pt>
                <c:pt idx="113">
                  <c:v>18.833333333333332</c:v>
                </c:pt>
                <c:pt idx="114">
                  <c:v>19</c:v>
                </c:pt>
                <c:pt idx="115">
                  <c:v>19.166666666666668</c:v>
                </c:pt>
                <c:pt idx="116">
                  <c:v>19.333333333333332</c:v>
                </c:pt>
                <c:pt idx="117">
                  <c:v>19.5</c:v>
                </c:pt>
                <c:pt idx="118">
                  <c:v>19.666666666666668</c:v>
                </c:pt>
                <c:pt idx="119">
                  <c:v>19.833333333333332</c:v>
                </c:pt>
                <c:pt idx="120">
                  <c:v>20</c:v>
                </c:pt>
                <c:pt idx="121">
                  <c:v>20.166666666666668</c:v>
                </c:pt>
                <c:pt idx="122">
                  <c:v>20.333333333333332</c:v>
                </c:pt>
                <c:pt idx="123">
                  <c:v>20.5</c:v>
                </c:pt>
                <c:pt idx="124">
                  <c:v>20.666666666666668</c:v>
                </c:pt>
                <c:pt idx="125">
                  <c:v>20.833333333333332</c:v>
                </c:pt>
                <c:pt idx="126">
                  <c:v>21</c:v>
                </c:pt>
                <c:pt idx="127">
                  <c:v>21.166666666666668</c:v>
                </c:pt>
                <c:pt idx="128">
                  <c:v>21.333333333333332</c:v>
                </c:pt>
                <c:pt idx="129">
                  <c:v>21.5</c:v>
                </c:pt>
                <c:pt idx="130">
                  <c:v>21.666666666666668</c:v>
                </c:pt>
                <c:pt idx="131">
                  <c:v>21.833333333333332</c:v>
                </c:pt>
                <c:pt idx="132">
                  <c:v>22</c:v>
                </c:pt>
                <c:pt idx="133">
                  <c:v>22.166666666666668</c:v>
                </c:pt>
                <c:pt idx="134">
                  <c:v>22.333333333333332</c:v>
                </c:pt>
                <c:pt idx="135">
                  <c:v>22.5</c:v>
                </c:pt>
                <c:pt idx="136">
                  <c:v>22.666666666666668</c:v>
                </c:pt>
                <c:pt idx="137">
                  <c:v>22.833333333333332</c:v>
                </c:pt>
                <c:pt idx="138">
                  <c:v>23</c:v>
                </c:pt>
                <c:pt idx="139">
                  <c:v>23.166666666666668</c:v>
                </c:pt>
                <c:pt idx="140">
                  <c:v>23.333333333333332</c:v>
                </c:pt>
                <c:pt idx="141">
                  <c:v>23.5</c:v>
                </c:pt>
                <c:pt idx="142">
                  <c:v>23.666666666666668</c:v>
                </c:pt>
                <c:pt idx="143">
                  <c:v>23.833333333333332</c:v>
                </c:pt>
                <c:pt idx="144">
                  <c:v>24</c:v>
                </c:pt>
              </c:numCache>
            </c:numRef>
          </c:xVal>
          <c:yVal>
            <c:numRef>
              <c:f>'ignore this sheet'!$L$2:$L$146</c:f>
              <c:numCache>
                <c:formatCode>General</c:formatCode>
                <c:ptCount val="145"/>
                <c:pt idx="0">
                  <c:v>0</c:v>
                </c:pt>
                <c:pt idx="1">
                  <c:v>7.5550726864287737E-2</c:v>
                </c:pt>
                <c:pt idx="2">
                  <c:v>7.5555412818477344E-2</c:v>
                </c:pt>
                <c:pt idx="3">
                  <c:v>7.5561875122268904E-2</c:v>
                </c:pt>
                <c:pt idx="4">
                  <c:v>7.5570743355586195E-2</c:v>
                </c:pt>
                <c:pt idx="5">
                  <c:v>7.5582853371855593E-2</c:v>
                </c:pt>
                <c:pt idx="6">
                  <c:v>7.5599308738887663E-2</c:v>
                </c:pt>
                <c:pt idx="7">
                  <c:v>7.5621558373752784E-2</c:v>
                </c:pt>
                <c:pt idx="8">
                  <c:v>7.5651493960983696E-2</c:v>
                </c:pt>
                <c:pt idx="9">
                  <c:v>7.569157133267243E-2</c:v>
                </c:pt>
                <c:pt idx="10">
                  <c:v>7.5744960614115717E-2</c:v>
                </c:pt>
                <c:pt idx="11">
                  <c:v>7.5815730581872492E-2</c:v>
                </c:pt>
                <c:pt idx="12">
                  <c:v>7.5909073317177042E-2</c:v>
                </c:pt>
                <c:pt idx="13">
                  <c:v>7.60315758326226E-2</c:v>
                </c:pt>
                <c:pt idx="14">
                  <c:v>7.6191545860103155E-2</c:v>
                </c:pt>
                <c:pt idx="15">
                  <c:v>7.6399399358770104E-2</c:v>
                </c:pt>
                <c:pt idx="16">
                  <c:v>7.6668117467789801E-2</c:v>
                </c:pt>
                <c:pt idx="17">
                  <c:v>7.7013780513705499E-2</c:v>
                </c:pt>
                <c:pt idx="18">
                  <c:v>7.7456186200038649E-2</c:v>
                </c:pt>
                <c:pt idx="19">
                  <c:v>7.8019558163244532E-2</c:v>
                </c:pt>
                <c:pt idx="20">
                  <c:v>7.8733349575136224E-2</c:v>
                </c:pt>
                <c:pt idx="21">
                  <c:v>7.9633144307638959E-2</c:v>
                </c:pt>
                <c:pt idx="22">
                  <c:v>8.0761655256515089E-2</c:v>
                </c:pt>
                <c:pt idx="23">
                  <c:v>8.2169815663954621E-2</c:v>
                </c:pt>
                <c:pt idx="24">
                  <c:v>8.3917954623718705E-2</c:v>
                </c:pt>
                <c:pt idx="25">
                  <c:v>8.6077042365123674E-2</c:v>
                </c:pt>
                <c:pt idx="26">
                  <c:v>8.872998440246678E-2</c:v>
                </c:pt>
                <c:pt idx="27">
                  <c:v>9.1972936264799354E-2</c:v>
                </c:pt>
                <c:pt idx="28">
                  <c:v>9.5916602409335472E-2</c:v>
                </c:pt>
                <c:pt idx="29">
                  <c:v>0.10068747426344195</c:v>
                </c:pt>
                <c:pt idx="30">
                  <c:v>0.10642895340664588</c:v>
                </c:pt>
                <c:pt idx="31">
                  <c:v>0.11330229704950016</c:v>
                </c:pt>
                <c:pt idx="32">
                  <c:v>0.12148731462707828</c:v>
                </c:pt>
                <c:pt idx="33">
                  <c:v>0.13118273701530475</c:v>
                </c:pt>
                <c:pt idx="34">
                  <c:v>0.14260617417835922</c:v>
                </c:pt>
                <c:pt idx="35">
                  <c:v>0.15599357359321903</c:v>
                </c:pt>
                <c:pt idx="36">
                  <c:v>0.17159809122426259</c:v>
                </c:pt>
                <c:pt idx="37">
                  <c:v>0.18968828977892283</c:v>
                </c:pt>
                <c:pt idx="38">
                  <c:v>0.21054558605935347</c:v>
                </c:pt>
                <c:pt idx="39">
                  <c:v>0.23446088093863779</c:v>
                </c:pt>
                <c:pt idx="40">
                  <c:v>0.26173032219902442</c:v>
                </c:pt>
                <c:pt idx="41">
                  <c:v>0.29265017235432639</c:v>
                </c:pt>
                <c:pt idx="42">
                  <c:v>0.32751078058831806</c:v>
                </c:pt>
                <c:pt idx="43">
                  <c:v>0.36658968975431333</c:v>
                </c:pt>
                <c:pt idx="44">
                  <c:v>0.4101439453755083</c:v>
                </c:pt>
                <c:pt idx="45">
                  <c:v>0.4584017128197414</c:v>
                </c:pt>
                <c:pt idx="46">
                  <c:v>0.5115533500350139</c:v>
                </c:pt>
                <c:pt idx="47">
                  <c:v>0.56974212486059628</c:v>
                </c:pt>
                <c:pt idx="48">
                  <c:v>0.6330548061478195</c:v>
                </c:pt>
                <c:pt idx="49">
                  <c:v>0.70151239470851978</c:v>
                </c:pt>
                <c:pt idx="50">
                  <c:v>0.77506129131282842</c:v>
                </c:pt>
                <c:pt idx="51">
                  <c:v>0.8535652224196113</c:v>
                </c:pt>
                <c:pt idx="52">
                  <c:v>0.93679825797966421</c:v>
                </c:pt>
                <c:pt idx="53">
                  <c:v>1.0244392576663919</c:v>
                </c:pt>
                <c:pt idx="54">
                  <c:v>1.1160680707775592</c:v>
                </c:pt>
                <c:pt idx="55">
                  <c:v>1.2111637898084688</c:v>
                </c:pt>
                <c:pt idx="56">
                  <c:v>1.3091053179016356</c:v>
                </c:pt>
                <c:pt idx="57">
                  <c:v>1.4091744562840054</c:v>
                </c:pt>
                <c:pt idx="58">
                  <c:v>1.5105616503928621</c:v>
                </c:pt>
                <c:pt idx="59">
                  <c:v>1.6123744543968379</c:v>
                </c:pt>
                <c:pt idx="60">
                  <c:v>1.7136486856952391</c:v>
                </c:pt>
                <c:pt idx="61">
                  <c:v>1.8133621468404058</c:v>
                </c:pt>
                <c:pt idx="62">
                  <c:v>1.9104506958322123</c:v>
                </c:pt>
                <c:pt idx="63">
                  <c:v>2.0038263509307304</c:v>
                </c:pt>
                <c:pt idx="64">
                  <c:v>2.0923970272762702</c:v>
                </c:pt>
                <c:pt idx="65">
                  <c:v>2.1750874239405253</c:v>
                </c:pt>
                <c:pt idx="66">
                  <c:v>2.2508605155686903</c:v>
                </c:pt>
                <c:pt idx="67">
                  <c:v>2.3187390560593468</c:v>
                </c:pt>
                <c:pt idx="68">
                  <c:v>2.3778264756427028</c:v>
                </c:pt>
                <c:pt idx="69">
                  <c:v>2.4273265492768479</c:v>
                </c:pt>
                <c:pt idx="70">
                  <c:v>2.4665612345038572</c:v>
                </c:pt>
                <c:pt idx="71">
                  <c:v>2.494986120717869</c:v>
                </c:pt>
                <c:pt idx="72">
                  <c:v>2.5122029979954368</c:v>
                </c:pt>
                <c:pt idx="73">
                  <c:v>2.5179691399294541</c:v>
                </c:pt>
                <c:pt idx="74">
                  <c:v>2.5125684975840068</c:v>
                </c:pt>
                <c:pt idx="75">
                  <c:v>2.4957120092693841</c:v>
                </c:pt>
                <c:pt idx="76">
                  <c:v>2.4676373558780611</c:v>
                </c:pt>
                <c:pt idx="77">
                  <c:v>2.428737939284956</c:v>
                </c:pt>
                <c:pt idx="78">
                  <c:v>2.3795537092861605</c:v>
                </c:pt>
                <c:pt idx="79">
                  <c:v>2.3207586932744504</c:v>
                </c:pt>
                <c:pt idx="80">
                  <c:v>2.2531456311785099</c:v>
                </c:pt>
                <c:pt idx="81">
                  <c:v>2.1776082050725671</c:v>
                </c:pt>
                <c:pt idx="82">
                  <c:v>2.0951214197397774</c:v>
                </c:pt>
                <c:pt idx="83">
                  <c:v>2.0067207350178604</c:v>
                </c:pt>
                <c:pt idx="84">
                  <c:v>1.9134805717331653</c:v>
                </c:pt>
                <c:pt idx="85">
                  <c:v>1.8164928103291962</c:v>
                </c:pt>
                <c:pt idx="86">
                  <c:v>1.7168458759018075</c:v>
                </c:pt>
                <c:pt idx="87">
                  <c:v>1.6156049572544799</c:v>
                </c:pt>
                <c:pt idx="88">
                  <c:v>1.5137938436347875</c:v>
                </c:pt>
                <c:pt idx="89">
                  <c:v>1.4123787845383458</c:v>
                </c:pt>
                <c:pt idx="90">
                  <c:v>1.3122546893683091</c:v>
                </c:pt>
                <c:pt idx="91">
                  <c:v>1.2142338890579731</c:v>
                </c:pt>
                <c:pt idx="92">
                  <c:v>1.1190375852580903</c:v>
                </c:pt>
                <c:pt idx="93">
                  <c:v>1.0272900184183056</c:v>
                </c:pt>
                <c:pt idx="94">
                  <c:v>0.93951529772680997</c:v>
                </c:pt>
                <c:pt idx="95">
                  <c:v>0.8561367565463236</c:v>
                </c:pt>
                <c:pt idx="96">
                  <c:v>0.77747862917636668</c:v>
                </c:pt>
                <c:pt idx="97">
                  <c:v>0.70376979023607289</c:v>
                </c:pt>
                <c:pt idx="98">
                  <c:v>0.63514925770511221</c:v>
                </c:pt>
                <c:pt idx="99">
                  <c:v>0.57167313495836458</c:v>
                </c:pt>
                <c:pt idx="100">
                  <c:v>0.51332265558305368</c:v>
                </c:pt>
                <c:pt idx="101">
                  <c:v>0.46001299638578785</c:v>
                </c:pt>
                <c:pt idx="102">
                  <c:v>0.41160253731108726</c:v>
                </c:pt>
                <c:pt idx="103">
                  <c:v>0.3679022701743801</c:v>
                </c:pt>
                <c:pt idx="104">
                  <c:v>0.32868508910359762</c:v>
                </c:pt>
                <c:pt idx="105">
                  <c:v>0.29369473222372899</c:v>
                </c:pt>
                <c:pt idx="106">
                  <c:v>0.26265418426104292</c:v>
                </c:pt>
                <c:pt idx="107">
                  <c:v>0.23527339135684106</c:v>
                </c:pt>
                <c:pt idx="108">
                  <c:v>0.21125618063209564</c:v>
                </c:pt>
                <c:pt idx="109">
                  <c:v>0.19030631636230969</c:v>
                </c:pt>
                <c:pt idx="110">
                  <c:v>0.17213266073537206</c:v>
                </c:pt>
                <c:pt idx="111">
                  <c:v>0.15645343912248677</c:v>
                </c:pt>
                <c:pt idx="112">
                  <c:v>0.14299963696089124</c:v>
                </c:pt>
                <c:pt idx="113">
                  <c:v>0.13151757739650707</c:v>
                </c:pt>
                <c:pt idx="114">
                  <c:v>0.12177074570621502</c:v>
                </c:pt>
                <c:pt idx="115">
                  <c:v>0.11354093838677855</c:v>
                </c:pt>
                <c:pt idx="116">
                  <c:v>0.106628822021186</c:v>
                </c:pt>
                <c:pt idx="117">
                  <c:v>0.10085399011339627</c:v>
                </c:pt>
                <c:pt idx="118">
                  <c:v>9.6054605611647997E-2</c:v>
                </c:pt>
                <c:pt idx="119">
                  <c:v>9.2086713459931233E-2</c:v>
                </c:pt>
                <c:pt idx="120">
                  <c:v>8.8823301878396044E-2</c:v>
                </c:pt>
                <c:pt idx="121">
                  <c:v>8.6153183805742703E-2</c:v>
                </c:pt>
                <c:pt idx="122">
                  <c:v>8.3979761621931812E-2</c:v>
                </c:pt>
                <c:pt idx="123">
                  <c:v>8.2219729424159532E-2</c:v>
                </c:pt>
                <c:pt idx="124">
                  <c:v>8.0801758192135253E-2</c:v>
                </c:pt>
                <c:pt idx="125">
                  <c:v>7.9665200507005179E-2</c:v>
                </c:pt>
                <c:pt idx="126">
                  <c:v>7.8758843355915889E-2</c:v>
                </c:pt>
                <c:pt idx="127">
                  <c:v>7.8039730156794163E-2</c:v>
                </c:pt>
                <c:pt idx="128">
                  <c:v>7.7472066599639802E-2</c:v>
                </c:pt>
                <c:pt idx="129">
                  <c:v>7.7026219283573033E-2</c:v>
                </c:pt>
                <c:pt idx="130">
                  <c:v>7.6677811443413318E-2</c:v>
                </c:pt>
                <c:pt idx="131">
                  <c:v>7.6406916275091857E-2</c:v>
                </c:pt>
                <c:pt idx="132">
                  <c:v>7.619734542458001E-2</c:v>
                </c:pt>
                <c:pt idx="133">
                  <c:v>7.603602801821488E-2</c:v>
                </c:pt>
                <c:pt idx="134">
                  <c:v>7.5912474088872639E-2</c:v>
                </c:pt>
                <c:pt idx="135">
                  <c:v>7.5818315292672467E-2</c:v>
                </c:pt>
                <c:pt idx="136">
                  <c:v>7.5746915315568999E-2</c:v>
                </c:pt>
                <c:pt idx="137">
                  <c:v>7.5693042243929129E-2</c:v>
                </c:pt>
                <c:pt idx="138">
                  <c:v>7.5652595331530362E-2</c:v>
                </c:pt>
                <c:pt idx="139">
                  <c:v>7.5622378960755438E-2</c:v>
                </c:pt>
                <c:pt idx="140">
                  <c:v>7.5599917102304695E-2</c:v>
                </c:pt>
                <c:pt idx="141">
                  <c:v>7.5583302170754624E-2</c:v>
                </c:pt>
                <c:pt idx="142">
                  <c:v>7.5571072808638839E-2</c:v>
                </c:pt>
                <c:pt idx="143">
                  <c:v>7.5562115775143199E-2</c:v>
                </c:pt>
                <c:pt idx="144">
                  <c:v>7.5555587741479538E-2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990-43AB-9943-315CB25CA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8443312"/>
        <c:axId val="2128442352"/>
      </c:scatterChart>
      <c:valAx>
        <c:axId val="2128443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8442352"/>
        <c:crosses val="autoZero"/>
        <c:crossBetween val="midCat"/>
      </c:valAx>
      <c:valAx>
        <c:axId val="212844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8443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'ignore this sheet'!$S$2</c:f>
              <c:strCache>
                <c:ptCount val="1"/>
                <c:pt idx="0">
                  <c:v>Shaheen Old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'ignore this sheet'!$R$3:$R$27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'ignore this sheet'!$S$3:$S$27</c:f>
              <c:numCache>
                <c:formatCode>General</c:formatCode>
                <c:ptCount val="25"/>
                <c:pt idx="0">
                  <c:v>0</c:v>
                </c:pt>
                <c:pt idx="1">
                  <c:v>0.27800000000000002</c:v>
                </c:pt>
                <c:pt idx="2">
                  <c:v>0.32600000000000007</c:v>
                </c:pt>
                <c:pt idx="3">
                  <c:v>0.46199999999998909</c:v>
                </c:pt>
                <c:pt idx="4">
                  <c:v>0.6399999999999999</c:v>
                </c:pt>
                <c:pt idx="5">
                  <c:v>1.0170000000000099</c:v>
                </c:pt>
                <c:pt idx="6">
                  <c:v>1.4559999999999995</c:v>
                </c:pt>
                <c:pt idx="7">
                  <c:v>2.6239999999999997</c:v>
                </c:pt>
                <c:pt idx="8">
                  <c:v>4.3579999999999997</c:v>
                </c:pt>
                <c:pt idx="9">
                  <c:v>6.26400000000001</c:v>
                </c:pt>
                <c:pt idx="10">
                  <c:v>8.7779999999999916</c:v>
                </c:pt>
                <c:pt idx="11">
                  <c:v>12.257999999999999</c:v>
                </c:pt>
                <c:pt idx="12">
                  <c:v>15.020000000000003</c:v>
                </c:pt>
                <c:pt idx="13">
                  <c:v>14.832999999999991</c:v>
                </c:pt>
                <c:pt idx="14">
                  <c:v>9.9000000000000057</c:v>
                </c:pt>
                <c:pt idx="15">
                  <c:v>7.546999999999997</c:v>
                </c:pt>
                <c:pt idx="16">
                  <c:v>4.6640000000000015</c:v>
                </c:pt>
                <c:pt idx="17">
                  <c:v>4.0990000000000038</c:v>
                </c:pt>
                <c:pt idx="18">
                  <c:v>1.7919999999999874</c:v>
                </c:pt>
                <c:pt idx="19">
                  <c:v>1.3289999999999935</c:v>
                </c:pt>
                <c:pt idx="20">
                  <c:v>0.83400000000000318</c:v>
                </c:pt>
                <c:pt idx="21">
                  <c:v>0.56100000000000705</c:v>
                </c:pt>
                <c:pt idx="22">
                  <c:v>0.41899999999999693</c:v>
                </c:pt>
                <c:pt idx="23">
                  <c:v>0.29900000000000659</c:v>
                </c:pt>
                <c:pt idx="24">
                  <c:v>0.24200000000000443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6B-4430-9F85-380F2541A829}"/>
            </c:ext>
          </c:extLst>
        </c:ser>
        <c:ser>
          <c:idx val="2"/>
          <c:order val="2"/>
          <c:tx>
            <c:strRef>
              <c:f>'ignore this sheet'!$U$2</c:f>
              <c:strCache>
                <c:ptCount val="1"/>
                <c:pt idx="0">
                  <c:v>PMP new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'ignore this sheet'!$R$3:$R$27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'ignore this sheet'!$U$3:$U$27</c:f>
              <c:numCache>
                <c:formatCode>General</c:formatCode>
                <c:ptCount val="25"/>
                <c:pt idx="0">
                  <c:v>0</c:v>
                </c:pt>
                <c:pt idx="1">
                  <c:v>0.45342092027136344</c:v>
                </c:pt>
                <c:pt idx="2">
                  <c:v>0.45443438818057419</c:v>
                </c:pt>
                <c:pt idx="3">
                  <c:v>0.45976060523302981</c:v>
                </c:pt>
                <c:pt idx="4">
                  <c:v>0.48323547759020807</c:v>
                </c:pt>
                <c:pt idx="5">
                  <c:v>0.5698129931118131</c:v>
                </c:pt>
                <c:pt idx="6">
                  <c:v>0.836170187687724</c:v>
                </c:pt>
                <c:pt idx="7">
                  <c:v>1.5165860319185831</c:v>
                </c:pt>
                <c:pt idx="8">
                  <c:v>2.9494856289929929</c:v>
                </c:pt>
                <c:pt idx="9">
                  <c:v>5.407444494864575</c:v>
                </c:pt>
                <c:pt idx="10">
                  <c:v>8.7660283544790492</c:v>
                </c:pt>
                <c:pt idx="11">
                  <c:v>12.245984160388833</c:v>
                </c:pt>
                <c:pt idx="12">
                  <c:v>14.597642434196061</c:v>
                </c:pt>
                <c:pt idx="13">
                  <c:v>14.802178651232023</c:v>
                </c:pt>
                <c:pt idx="14">
                  <c:v>12.76683525601633</c:v>
                </c:pt>
                <c:pt idx="15">
                  <c:v>9.3873709610269263</c:v>
                </c:pt>
                <c:pt idx="16">
                  <c:v>5.9336921761838699</c:v>
                </c:pt>
                <c:pt idx="17">
                  <c:v>3.2955303721794786</c:v>
                </c:pt>
                <c:pt idx="18">
                  <c:v>1.6994658477516862</c:v>
                </c:pt>
                <c:pt idx="19">
                  <c:v>0.91518037628378179</c:v>
                </c:pt>
                <c:pt idx="20">
                  <c:v>0.5979883714713361</c:v>
                </c:pt>
                <c:pt idx="21">
                  <c:v>0.49157847690689038</c:v>
                </c:pt>
                <c:pt idx="22">
                  <c:v>0.46182008918309214</c:v>
                </c:pt>
                <c:pt idx="23">
                  <c:v>0.45485937029078849</c:v>
                </c:pt>
                <c:pt idx="24">
                  <c:v>0.45349437455907632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D6B-4430-9F85-380F2541A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1056815"/>
        <c:axId val="591057295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'ignore this sheet'!$T$2</c15:sqref>
                        </c15:formulaRef>
                      </c:ext>
                    </c:extLst>
                    <c:strCache>
                      <c:ptCount val="1"/>
                      <c:pt idx="0">
                        <c:v>PMP old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'ignore this sheet'!$R$3:$R$27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'ignore this sheet'!$T$3:$T$27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0.1</c:v>
                      </c:pt>
                      <c:pt idx="3">
                        <c:v>0.19999999999999998</c:v>
                      </c:pt>
                      <c:pt idx="4">
                        <c:v>0.5</c:v>
                      </c:pt>
                      <c:pt idx="5">
                        <c:v>0.59999999999999987</c:v>
                      </c:pt>
                      <c:pt idx="6">
                        <c:v>1</c:v>
                      </c:pt>
                      <c:pt idx="7">
                        <c:v>1.6999999999999997</c:v>
                      </c:pt>
                      <c:pt idx="8">
                        <c:v>2.4000000000000004</c:v>
                      </c:pt>
                      <c:pt idx="9">
                        <c:v>4.4000000000000004</c:v>
                      </c:pt>
                      <c:pt idx="10">
                        <c:v>7.9</c:v>
                      </c:pt>
                      <c:pt idx="11">
                        <c:v>13.599999999999998</c:v>
                      </c:pt>
                      <c:pt idx="12">
                        <c:v>21.800000000000004</c:v>
                      </c:pt>
                      <c:pt idx="13">
                        <c:v>18.799999999999997</c:v>
                      </c:pt>
                      <c:pt idx="14">
                        <c:v>11.299999999999997</c:v>
                      </c:pt>
                      <c:pt idx="15">
                        <c:v>6.5</c:v>
                      </c:pt>
                      <c:pt idx="16">
                        <c:v>3.7000000000000028</c:v>
                      </c:pt>
                      <c:pt idx="17">
                        <c:v>2.0999999999999943</c:v>
                      </c:pt>
                      <c:pt idx="18">
                        <c:v>1.5</c:v>
                      </c:pt>
                      <c:pt idx="19">
                        <c:v>0.80000000000001137</c:v>
                      </c:pt>
                      <c:pt idx="20">
                        <c:v>0.59999999999999432</c:v>
                      </c:pt>
                      <c:pt idx="21">
                        <c:v>0.5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ED6B-4430-9F85-380F2541A829}"/>
                  </c:ext>
                </c:extLst>
              </c15:ser>
            </c15:filteredScatterSeries>
          </c:ext>
        </c:extLst>
      </c:scatterChart>
      <c:valAx>
        <c:axId val="591056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057295"/>
        <c:crosses val="autoZero"/>
        <c:crossBetween val="midCat"/>
      </c:valAx>
      <c:valAx>
        <c:axId val="5910572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0568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'ignore this sheet'!$W$2</c:f>
              <c:strCache>
                <c:ptCount val="1"/>
                <c:pt idx="0">
                  <c:v>Shaheen old cum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'ignore this sheet'!$R$3:$R$27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'ignore this sheet'!$W$3:$W$27</c:f>
              <c:numCache>
                <c:formatCode>General</c:formatCode>
                <c:ptCount val="25"/>
                <c:pt idx="0">
                  <c:v>0</c:v>
                </c:pt>
                <c:pt idx="1">
                  <c:v>0.27800000000000002</c:v>
                </c:pt>
                <c:pt idx="2">
                  <c:v>0.60400000000000009</c:v>
                </c:pt>
                <c:pt idx="3">
                  <c:v>1.0659999999999892</c:v>
                </c:pt>
                <c:pt idx="4">
                  <c:v>1.7059999999999891</c:v>
                </c:pt>
                <c:pt idx="5">
                  <c:v>2.722999999999999</c:v>
                </c:pt>
                <c:pt idx="6">
                  <c:v>4.1789999999999985</c:v>
                </c:pt>
                <c:pt idx="7">
                  <c:v>6.8029999999999982</c:v>
                </c:pt>
                <c:pt idx="8">
                  <c:v>11.160999999999998</c:v>
                </c:pt>
                <c:pt idx="9">
                  <c:v>17.425000000000008</c:v>
                </c:pt>
                <c:pt idx="10">
                  <c:v>26.202999999999999</c:v>
                </c:pt>
                <c:pt idx="11">
                  <c:v>38.460999999999999</c:v>
                </c:pt>
                <c:pt idx="12">
                  <c:v>53.481000000000002</c:v>
                </c:pt>
                <c:pt idx="13">
                  <c:v>68.313999999999993</c:v>
                </c:pt>
                <c:pt idx="14">
                  <c:v>78.213999999999999</c:v>
                </c:pt>
                <c:pt idx="15">
                  <c:v>85.760999999999996</c:v>
                </c:pt>
                <c:pt idx="16">
                  <c:v>90.424999999999997</c:v>
                </c:pt>
                <c:pt idx="17">
                  <c:v>94.524000000000001</c:v>
                </c:pt>
                <c:pt idx="18">
                  <c:v>96.315999999999988</c:v>
                </c:pt>
                <c:pt idx="19">
                  <c:v>97.644999999999982</c:v>
                </c:pt>
                <c:pt idx="20">
                  <c:v>98.478999999999985</c:v>
                </c:pt>
                <c:pt idx="21">
                  <c:v>99.039999999999992</c:v>
                </c:pt>
                <c:pt idx="22">
                  <c:v>99.458999999999989</c:v>
                </c:pt>
                <c:pt idx="23">
                  <c:v>99.757999999999996</c:v>
                </c:pt>
                <c:pt idx="24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614-46E8-B1F4-DE9B69222FB8}"/>
            </c:ext>
          </c:extLst>
        </c:ser>
        <c:ser>
          <c:idx val="1"/>
          <c:order val="1"/>
          <c:tx>
            <c:strRef>
              <c:f>'ignore this sheet'!$X$2</c:f>
              <c:strCache>
                <c:ptCount val="1"/>
                <c:pt idx="0">
                  <c:v>PMP new cum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'ignore this sheet'!$R$3:$R$27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'ignore this sheet'!$X$3:$X$27</c:f>
              <c:numCache>
                <c:formatCode>General</c:formatCode>
                <c:ptCount val="25"/>
                <c:pt idx="0">
                  <c:v>0</c:v>
                </c:pt>
                <c:pt idx="1">
                  <c:v>0.45342092027136344</c:v>
                </c:pt>
                <c:pt idx="2">
                  <c:v>0.90785530845193763</c:v>
                </c:pt>
                <c:pt idx="3">
                  <c:v>1.3676159136849675</c:v>
                </c:pt>
                <c:pt idx="4">
                  <c:v>1.8508513912751756</c:v>
                </c:pt>
                <c:pt idx="5">
                  <c:v>2.4206643843869888</c:v>
                </c:pt>
                <c:pt idx="6">
                  <c:v>3.2568345720747129</c:v>
                </c:pt>
                <c:pt idx="7">
                  <c:v>4.773420603993296</c:v>
                </c:pt>
                <c:pt idx="8">
                  <c:v>7.722906232986289</c:v>
                </c:pt>
                <c:pt idx="9">
                  <c:v>13.130350727850864</c:v>
                </c:pt>
                <c:pt idx="10">
                  <c:v>21.896379082329915</c:v>
                </c:pt>
                <c:pt idx="11">
                  <c:v>34.142363242718744</c:v>
                </c:pt>
                <c:pt idx="12">
                  <c:v>48.740005676914805</c:v>
                </c:pt>
                <c:pt idx="13">
                  <c:v>63.542184328146831</c:v>
                </c:pt>
                <c:pt idx="14">
                  <c:v>76.309019584163167</c:v>
                </c:pt>
                <c:pt idx="15">
                  <c:v>85.696390545190098</c:v>
                </c:pt>
                <c:pt idx="16">
                  <c:v>91.630082721373967</c:v>
                </c:pt>
                <c:pt idx="17">
                  <c:v>94.925613093553451</c:v>
                </c:pt>
                <c:pt idx="18">
                  <c:v>96.625078941305134</c:v>
                </c:pt>
                <c:pt idx="19">
                  <c:v>97.540259317588919</c:v>
                </c:pt>
                <c:pt idx="20">
                  <c:v>98.13824768906025</c:v>
                </c:pt>
                <c:pt idx="21">
                  <c:v>98.629826165967145</c:v>
                </c:pt>
                <c:pt idx="22">
                  <c:v>99.091646255150238</c:v>
                </c:pt>
                <c:pt idx="23">
                  <c:v>99.546505625441029</c:v>
                </c:pt>
                <c:pt idx="24">
                  <c:v>100.0000000000001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614-46E8-B1F4-DE9B69222F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8689664"/>
        <c:axId val="2118685344"/>
      </c:scatterChart>
      <c:valAx>
        <c:axId val="2118689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8685344"/>
        <c:crosses val="autoZero"/>
        <c:crossBetween val="midCat"/>
      </c:valAx>
      <c:valAx>
        <c:axId val="2118685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8689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'ignore this sheet'!$L$1</c:f>
              <c:strCache>
                <c:ptCount val="1"/>
                <c:pt idx="0">
                  <c:v>PMP new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'ignore this sheet'!$J$2:$J$146</c:f>
              <c:numCache>
                <c:formatCode>General</c:formatCode>
                <c:ptCount val="145"/>
                <c:pt idx="0">
                  <c:v>0</c:v>
                </c:pt>
                <c:pt idx="1">
                  <c:v>0.16666666666666666</c:v>
                </c:pt>
                <c:pt idx="2">
                  <c:v>0.33333333333333331</c:v>
                </c:pt>
                <c:pt idx="3">
                  <c:v>0.5</c:v>
                </c:pt>
                <c:pt idx="4">
                  <c:v>0.66666666666666663</c:v>
                </c:pt>
                <c:pt idx="5">
                  <c:v>0.83333333333333337</c:v>
                </c:pt>
                <c:pt idx="6">
                  <c:v>1</c:v>
                </c:pt>
                <c:pt idx="7">
                  <c:v>1.1666666666666667</c:v>
                </c:pt>
                <c:pt idx="8">
                  <c:v>1.3333333333333333</c:v>
                </c:pt>
                <c:pt idx="9">
                  <c:v>1.5</c:v>
                </c:pt>
                <c:pt idx="10">
                  <c:v>1.6666666666666667</c:v>
                </c:pt>
                <c:pt idx="11">
                  <c:v>1.8333333333333333</c:v>
                </c:pt>
                <c:pt idx="12">
                  <c:v>2</c:v>
                </c:pt>
                <c:pt idx="13">
                  <c:v>2.1666666666666665</c:v>
                </c:pt>
                <c:pt idx="14">
                  <c:v>2.3333333333333335</c:v>
                </c:pt>
                <c:pt idx="15">
                  <c:v>2.5</c:v>
                </c:pt>
                <c:pt idx="16">
                  <c:v>2.6666666666666665</c:v>
                </c:pt>
                <c:pt idx="17">
                  <c:v>2.8333333333333335</c:v>
                </c:pt>
                <c:pt idx="18">
                  <c:v>3</c:v>
                </c:pt>
                <c:pt idx="19">
                  <c:v>3.1666666666666665</c:v>
                </c:pt>
                <c:pt idx="20">
                  <c:v>3.3333333333333335</c:v>
                </c:pt>
                <c:pt idx="21">
                  <c:v>3.5</c:v>
                </c:pt>
                <c:pt idx="22">
                  <c:v>3.6666666666666665</c:v>
                </c:pt>
                <c:pt idx="23">
                  <c:v>3.8333333333333335</c:v>
                </c:pt>
                <c:pt idx="24">
                  <c:v>4</c:v>
                </c:pt>
                <c:pt idx="25">
                  <c:v>4.166666666666667</c:v>
                </c:pt>
                <c:pt idx="26">
                  <c:v>4.333333333333333</c:v>
                </c:pt>
                <c:pt idx="27">
                  <c:v>4.5</c:v>
                </c:pt>
                <c:pt idx="28">
                  <c:v>4.666666666666667</c:v>
                </c:pt>
                <c:pt idx="29">
                  <c:v>4.833333333333333</c:v>
                </c:pt>
                <c:pt idx="30">
                  <c:v>5</c:v>
                </c:pt>
                <c:pt idx="31">
                  <c:v>5.166666666666667</c:v>
                </c:pt>
                <c:pt idx="32">
                  <c:v>5.333333333333333</c:v>
                </c:pt>
                <c:pt idx="33">
                  <c:v>5.5</c:v>
                </c:pt>
                <c:pt idx="34">
                  <c:v>5.666666666666667</c:v>
                </c:pt>
                <c:pt idx="35">
                  <c:v>5.833333333333333</c:v>
                </c:pt>
                <c:pt idx="36">
                  <c:v>6</c:v>
                </c:pt>
                <c:pt idx="37">
                  <c:v>6.166666666666667</c:v>
                </c:pt>
                <c:pt idx="38">
                  <c:v>6.333333333333333</c:v>
                </c:pt>
                <c:pt idx="39">
                  <c:v>6.5</c:v>
                </c:pt>
                <c:pt idx="40">
                  <c:v>6.666666666666667</c:v>
                </c:pt>
                <c:pt idx="41">
                  <c:v>6.833333333333333</c:v>
                </c:pt>
                <c:pt idx="42">
                  <c:v>7</c:v>
                </c:pt>
                <c:pt idx="43">
                  <c:v>7.166666666666667</c:v>
                </c:pt>
                <c:pt idx="44">
                  <c:v>7.333333333333333</c:v>
                </c:pt>
                <c:pt idx="45">
                  <c:v>7.5</c:v>
                </c:pt>
                <c:pt idx="46">
                  <c:v>7.666666666666667</c:v>
                </c:pt>
                <c:pt idx="47">
                  <c:v>7.833333333333333</c:v>
                </c:pt>
                <c:pt idx="48">
                  <c:v>8</c:v>
                </c:pt>
                <c:pt idx="49">
                  <c:v>8.1666666666666661</c:v>
                </c:pt>
                <c:pt idx="50">
                  <c:v>8.3333333333333339</c:v>
                </c:pt>
                <c:pt idx="51">
                  <c:v>8.5</c:v>
                </c:pt>
                <c:pt idx="52">
                  <c:v>8.6666666666666661</c:v>
                </c:pt>
                <c:pt idx="53">
                  <c:v>8.8333333333333339</c:v>
                </c:pt>
                <c:pt idx="54">
                  <c:v>9</c:v>
                </c:pt>
                <c:pt idx="55">
                  <c:v>9.1666666666666661</c:v>
                </c:pt>
                <c:pt idx="56">
                  <c:v>9.3333333333333339</c:v>
                </c:pt>
                <c:pt idx="57">
                  <c:v>9.5</c:v>
                </c:pt>
                <c:pt idx="58">
                  <c:v>9.6666666666666661</c:v>
                </c:pt>
                <c:pt idx="59">
                  <c:v>9.8333333333333339</c:v>
                </c:pt>
                <c:pt idx="60">
                  <c:v>10</c:v>
                </c:pt>
                <c:pt idx="61">
                  <c:v>10.166666666666666</c:v>
                </c:pt>
                <c:pt idx="62">
                  <c:v>10.333333333333334</c:v>
                </c:pt>
                <c:pt idx="63">
                  <c:v>10.5</c:v>
                </c:pt>
                <c:pt idx="64">
                  <c:v>10.666666666666666</c:v>
                </c:pt>
                <c:pt idx="65">
                  <c:v>10.833333333333334</c:v>
                </c:pt>
                <c:pt idx="66">
                  <c:v>11</c:v>
                </c:pt>
                <c:pt idx="67">
                  <c:v>11.166666666666666</c:v>
                </c:pt>
                <c:pt idx="68">
                  <c:v>11.333333333333334</c:v>
                </c:pt>
                <c:pt idx="69">
                  <c:v>11.5</c:v>
                </c:pt>
                <c:pt idx="70">
                  <c:v>11.666666666666666</c:v>
                </c:pt>
                <c:pt idx="71">
                  <c:v>11.833333333333334</c:v>
                </c:pt>
                <c:pt idx="72">
                  <c:v>12</c:v>
                </c:pt>
                <c:pt idx="73">
                  <c:v>12.166666666666666</c:v>
                </c:pt>
                <c:pt idx="74">
                  <c:v>12.333333333333334</c:v>
                </c:pt>
                <c:pt idx="75">
                  <c:v>12.5</c:v>
                </c:pt>
                <c:pt idx="76">
                  <c:v>12.666666666666666</c:v>
                </c:pt>
                <c:pt idx="77">
                  <c:v>12.833333333333334</c:v>
                </c:pt>
                <c:pt idx="78">
                  <c:v>13</c:v>
                </c:pt>
                <c:pt idx="79">
                  <c:v>13.166666666666666</c:v>
                </c:pt>
                <c:pt idx="80">
                  <c:v>13.333333333333334</c:v>
                </c:pt>
                <c:pt idx="81">
                  <c:v>13.5</c:v>
                </c:pt>
                <c:pt idx="82">
                  <c:v>13.666666666666666</c:v>
                </c:pt>
                <c:pt idx="83">
                  <c:v>13.833333333333334</c:v>
                </c:pt>
                <c:pt idx="84">
                  <c:v>14</c:v>
                </c:pt>
                <c:pt idx="85">
                  <c:v>14.166666666666666</c:v>
                </c:pt>
                <c:pt idx="86">
                  <c:v>14.333333333333334</c:v>
                </c:pt>
                <c:pt idx="87">
                  <c:v>14.5</c:v>
                </c:pt>
                <c:pt idx="88">
                  <c:v>14.666666666666666</c:v>
                </c:pt>
                <c:pt idx="89">
                  <c:v>14.833333333333334</c:v>
                </c:pt>
                <c:pt idx="90">
                  <c:v>15</c:v>
                </c:pt>
                <c:pt idx="91">
                  <c:v>15.166666666666666</c:v>
                </c:pt>
                <c:pt idx="92">
                  <c:v>15.333333333333334</c:v>
                </c:pt>
                <c:pt idx="93">
                  <c:v>15.5</c:v>
                </c:pt>
                <c:pt idx="94">
                  <c:v>15.666666666666666</c:v>
                </c:pt>
                <c:pt idx="95">
                  <c:v>15.833333333333334</c:v>
                </c:pt>
                <c:pt idx="96">
                  <c:v>16</c:v>
                </c:pt>
                <c:pt idx="97">
                  <c:v>16.166666666666668</c:v>
                </c:pt>
                <c:pt idx="98">
                  <c:v>16.333333333333332</c:v>
                </c:pt>
                <c:pt idx="99">
                  <c:v>16.5</c:v>
                </c:pt>
                <c:pt idx="100">
                  <c:v>16.666666666666668</c:v>
                </c:pt>
                <c:pt idx="101">
                  <c:v>16.833333333333332</c:v>
                </c:pt>
                <c:pt idx="102">
                  <c:v>17</c:v>
                </c:pt>
                <c:pt idx="103">
                  <c:v>17.166666666666668</c:v>
                </c:pt>
                <c:pt idx="104">
                  <c:v>17.333333333333332</c:v>
                </c:pt>
                <c:pt idx="105">
                  <c:v>17.5</c:v>
                </c:pt>
                <c:pt idx="106">
                  <c:v>17.666666666666668</c:v>
                </c:pt>
                <c:pt idx="107">
                  <c:v>17.833333333333332</c:v>
                </c:pt>
                <c:pt idx="108">
                  <c:v>18</c:v>
                </c:pt>
                <c:pt idx="109">
                  <c:v>18.166666666666668</c:v>
                </c:pt>
                <c:pt idx="110">
                  <c:v>18.333333333333332</c:v>
                </c:pt>
                <c:pt idx="111">
                  <c:v>18.5</c:v>
                </c:pt>
                <c:pt idx="112">
                  <c:v>18.666666666666668</c:v>
                </c:pt>
                <c:pt idx="113">
                  <c:v>18.833333333333332</c:v>
                </c:pt>
                <c:pt idx="114">
                  <c:v>19</c:v>
                </c:pt>
                <c:pt idx="115">
                  <c:v>19.166666666666668</c:v>
                </c:pt>
                <c:pt idx="116">
                  <c:v>19.333333333333332</c:v>
                </c:pt>
                <c:pt idx="117">
                  <c:v>19.5</c:v>
                </c:pt>
                <c:pt idx="118">
                  <c:v>19.666666666666668</c:v>
                </c:pt>
                <c:pt idx="119">
                  <c:v>19.833333333333332</c:v>
                </c:pt>
                <c:pt idx="120">
                  <c:v>20</c:v>
                </c:pt>
                <c:pt idx="121">
                  <c:v>20.166666666666668</c:v>
                </c:pt>
                <c:pt idx="122">
                  <c:v>20.333333333333332</c:v>
                </c:pt>
                <c:pt idx="123">
                  <c:v>20.5</c:v>
                </c:pt>
                <c:pt idx="124">
                  <c:v>20.666666666666668</c:v>
                </c:pt>
                <c:pt idx="125">
                  <c:v>20.833333333333332</c:v>
                </c:pt>
                <c:pt idx="126">
                  <c:v>21</c:v>
                </c:pt>
                <c:pt idx="127">
                  <c:v>21.166666666666668</c:v>
                </c:pt>
                <c:pt idx="128">
                  <c:v>21.333333333333332</c:v>
                </c:pt>
                <c:pt idx="129">
                  <c:v>21.5</c:v>
                </c:pt>
                <c:pt idx="130">
                  <c:v>21.666666666666668</c:v>
                </c:pt>
                <c:pt idx="131">
                  <c:v>21.833333333333332</c:v>
                </c:pt>
                <c:pt idx="132">
                  <c:v>22</c:v>
                </c:pt>
                <c:pt idx="133">
                  <c:v>22.166666666666668</c:v>
                </c:pt>
                <c:pt idx="134">
                  <c:v>22.333333333333332</c:v>
                </c:pt>
                <c:pt idx="135">
                  <c:v>22.5</c:v>
                </c:pt>
                <c:pt idx="136">
                  <c:v>22.666666666666668</c:v>
                </c:pt>
                <c:pt idx="137">
                  <c:v>22.833333333333332</c:v>
                </c:pt>
                <c:pt idx="138">
                  <c:v>23</c:v>
                </c:pt>
                <c:pt idx="139">
                  <c:v>23.166666666666668</c:v>
                </c:pt>
                <c:pt idx="140">
                  <c:v>23.333333333333332</c:v>
                </c:pt>
                <c:pt idx="141">
                  <c:v>23.5</c:v>
                </c:pt>
                <c:pt idx="142">
                  <c:v>23.666666666666668</c:v>
                </c:pt>
                <c:pt idx="143">
                  <c:v>23.833333333333332</c:v>
                </c:pt>
                <c:pt idx="144">
                  <c:v>24</c:v>
                </c:pt>
              </c:numCache>
            </c:numRef>
          </c:xVal>
          <c:yVal>
            <c:numRef>
              <c:f>'ignore this sheet'!$L$2:$L$146</c:f>
              <c:numCache>
                <c:formatCode>General</c:formatCode>
                <c:ptCount val="145"/>
                <c:pt idx="0">
                  <c:v>0</c:v>
                </c:pt>
                <c:pt idx="1">
                  <c:v>7.5550726864287737E-2</c:v>
                </c:pt>
                <c:pt idx="2">
                  <c:v>7.5555412818477344E-2</c:v>
                </c:pt>
                <c:pt idx="3">
                  <c:v>7.5561875122268904E-2</c:v>
                </c:pt>
                <c:pt idx="4">
                  <c:v>7.5570743355586195E-2</c:v>
                </c:pt>
                <c:pt idx="5">
                  <c:v>7.5582853371855593E-2</c:v>
                </c:pt>
                <c:pt idx="6">
                  <c:v>7.5599308738887663E-2</c:v>
                </c:pt>
                <c:pt idx="7">
                  <c:v>7.5621558373752784E-2</c:v>
                </c:pt>
                <c:pt idx="8">
                  <c:v>7.5651493960983696E-2</c:v>
                </c:pt>
                <c:pt idx="9">
                  <c:v>7.569157133267243E-2</c:v>
                </c:pt>
                <c:pt idx="10">
                  <c:v>7.5744960614115717E-2</c:v>
                </c:pt>
                <c:pt idx="11">
                  <c:v>7.5815730581872492E-2</c:v>
                </c:pt>
                <c:pt idx="12">
                  <c:v>7.5909073317177042E-2</c:v>
                </c:pt>
                <c:pt idx="13">
                  <c:v>7.60315758326226E-2</c:v>
                </c:pt>
                <c:pt idx="14">
                  <c:v>7.6191545860103155E-2</c:v>
                </c:pt>
                <c:pt idx="15">
                  <c:v>7.6399399358770104E-2</c:v>
                </c:pt>
                <c:pt idx="16">
                  <c:v>7.6668117467789801E-2</c:v>
                </c:pt>
                <c:pt idx="17">
                  <c:v>7.7013780513705499E-2</c:v>
                </c:pt>
                <c:pt idx="18">
                  <c:v>7.7456186200038649E-2</c:v>
                </c:pt>
                <c:pt idx="19">
                  <c:v>7.8019558163244532E-2</c:v>
                </c:pt>
                <c:pt idx="20">
                  <c:v>7.8733349575136224E-2</c:v>
                </c:pt>
                <c:pt idx="21">
                  <c:v>7.9633144307638959E-2</c:v>
                </c:pt>
                <c:pt idx="22">
                  <c:v>8.0761655256515089E-2</c:v>
                </c:pt>
                <c:pt idx="23">
                  <c:v>8.2169815663954621E-2</c:v>
                </c:pt>
                <c:pt idx="24">
                  <c:v>8.3917954623718705E-2</c:v>
                </c:pt>
                <c:pt idx="25">
                  <c:v>8.6077042365123674E-2</c:v>
                </c:pt>
                <c:pt idx="26">
                  <c:v>8.872998440246678E-2</c:v>
                </c:pt>
                <c:pt idx="27">
                  <c:v>9.1972936264799354E-2</c:v>
                </c:pt>
                <c:pt idx="28">
                  <c:v>9.5916602409335472E-2</c:v>
                </c:pt>
                <c:pt idx="29">
                  <c:v>0.10068747426344195</c:v>
                </c:pt>
                <c:pt idx="30">
                  <c:v>0.10642895340664588</c:v>
                </c:pt>
                <c:pt idx="31">
                  <c:v>0.11330229704950016</c:v>
                </c:pt>
                <c:pt idx="32">
                  <c:v>0.12148731462707828</c:v>
                </c:pt>
                <c:pt idx="33">
                  <c:v>0.13118273701530475</c:v>
                </c:pt>
                <c:pt idx="34">
                  <c:v>0.14260617417835922</c:v>
                </c:pt>
                <c:pt idx="35">
                  <c:v>0.15599357359321903</c:v>
                </c:pt>
                <c:pt idx="36">
                  <c:v>0.17159809122426259</c:v>
                </c:pt>
                <c:pt idx="37">
                  <c:v>0.18968828977892283</c:v>
                </c:pt>
                <c:pt idx="38">
                  <c:v>0.21054558605935347</c:v>
                </c:pt>
                <c:pt idx="39">
                  <c:v>0.23446088093863779</c:v>
                </c:pt>
                <c:pt idx="40">
                  <c:v>0.26173032219902442</c:v>
                </c:pt>
                <c:pt idx="41">
                  <c:v>0.29265017235432639</c:v>
                </c:pt>
                <c:pt idx="42">
                  <c:v>0.32751078058831806</c:v>
                </c:pt>
                <c:pt idx="43">
                  <c:v>0.36658968975431333</c:v>
                </c:pt>
                <c:pt idx="44">
                  <c:v>0.4101439453755083</c:v>
                </c:pt>
                <c:pt idx="45">
                  <c:v>0.4584017128197414</c:v>
                </c:pt>
                <c:pt idx="46">
                  <c:v>0.5115533500350139</c:v>
                </c:pt>
                <c:pt idx="47">
                  <c:v>0.56974212486059628</c:v>
                </c:pt>
                <c:pt idx="48">
                  <c:v>0.6330548061478195</c:v>
                </c:pt>
                <c:pt idx="49">
                  <c:v>0.70151239470851978</c:v>
                </c:pt>
                <c:pt idx="50">
                  <c:v>0.77506129131282842</c:v>
                </c:pt>
                <c:pt idx="51">
                  <c:v>0.8535652224196113</c:v>
                </c:pt>
                <c:pt idx="52">
                  <c:v>0.93679825797966421</c:v>
                </c:pt>
                <c:pt idx="53">
                  <c:v>1.0244392576663919</c:v>
                </c:pt>
                <c:pt idx="54">
                  <c:v>1.1160680707775592</c:v>
                </c:pt>
                <c:pt idx="55">
                  <c:v>1.2111637898084688</c:v>
                </c:pt>
                <c:pt idx="56">
                  <c:v>1.3091053179016356</c:v>
                </c:pt>
                <c:pt idx="57">
                  <c:v>1.4091744562840054</c:v>
                </c:pt>
                <c:pt idx="58">
                  <c:v>1.5105616503928621</c:v>
                </c:pt>
                <c:pt idx="59">
                  <c:v>1.6123744543968379</c:v>
                </c:pt>
                <c:pt idx="60">
                  <c:v>1.7136486856952391</c:v>
                </c:pt>
                <c:pt idx="61">
                  <c:v>1.8133621468404058</c:v>
                </c:pt>
                <c:pt idx="62">
                  <c:v>1.9104506958322123</c:v>
                </c:pt>
                <c:pt idx="63">
                  <c:v>2.0038263509307304</c:v>
                </c:pt>
                <c:pt idx="64">
                  <c:v>2.0923970272762702</c:v>
                </c:pt>
                <c:pt idx="65">
                  <c:v>2.1750874239405253</c:v>
                </c:pt>
                <c:pt idx="66">
                  <c:v>2.2508605155686903</c:v>
                </c:pt>
                <c:pt idx="67">
                  <c:v>2.3187390560593468</c:v>
                </c:pt>
                <c:pt idx="68">
                  <c:v>2.3778264756427028</c:v>
                </c:pt>
                <c:pt idx="69">
                  <c:v>2.4273265492768479</c:v>
                </c:pt>
                <c:pt idx="70">
                  <c:v>2.4665612345038572</c:v>
                </c:pt>
                <c:pt idx="71">
                  <c:v>2.494986120717869</c:v>
                </c:pt>
                <c:pt idx="72">
                  <c:v>2.5122029979954368</c:v>
                </c:pt>
                <c:pt idx="73">
                  <c:v>2.5179691399294541</c:v>
                </c:pt>
                <c:pt idx="74">
                  <c:v>2.5125684975840068</c:v>
                </c:pt>
                <c:pt idx="75">
                  <c:v>2.4957120092693841</c:v>
                </c:pt>
                <c:pt idx="76">
                  <c:v>2.4676373558780611</c:v>
                </c:pt>
                <c:pt idx="77">
                  <c:v>2.428737939284956</c:v>
                </c:pt>
                <c:pt idx="78">
                  <c:v>2.3795537092861605</c:v>
                </c:pt>
                <c:pt idx="79">
                  <c:v>2.3207586932744504</c:v>
                </c:pt>
                <c:pt idx="80">
                  <c:v>2.2531456311785099</c:v>
                </c:pt>
                <c:pt idx="81">
                  <c:v>2.1776082050725671</c:v>
                </c:pt>
                <c:pt idx="82">
                  <c:v>2.0951214197397774</c:v>
                </c:pt>
                <c:pt idx="83">
                  <c:v>2.0067207350178604</c:v>
                </c:pt>
                <c:pt idx="84">
                  <c:v>1.9134805717331653</c:v>
                </c:pt>
                <c:pt idx="85">
                  <c:v>1.8164928103291962</c:v>
                </c:pt>
                <c:pt idx="86">
                  <c:v>1.7168458759018075</c:v>
                </c:pt>
                <c:pt idx="87">
                  <c:v>1.6156049572544799</c:v>
                </c:pt>
                <c:pt idx="88">
                  <c:v>1.5137938436347875</c:v>
                </c:pt>
                <c:pt idx="89">
                  <c:v>1.4123787845383458</c:v>
                </c:pt>
                <c:pt idx="90">
                  <c:v>1.3122546893683091</c:v>
                </c:pt>
                <c:pt idx="91">
                  <c:v>1.2142338890579731</c:v>
                </c:pt>
                <c:pt idx="92">
                  <c:v>1.1190375852580903</c:v>
                </c:pt>
                <c:pt idx="93">
                  <c:v>1.0272900184183056</c:v>
                </c:pt>
                <c:pt idx="94">
                  <c:v>0.93951529772680997</c:v>
                </c:pt>
                <c:pt idx="95">
                  <c:v>0.8561367565463236</c:v>
                </c:pt>
                <c:pt idx="96">
                  <c:v>0.77747862917636668</c:v>
                </c:pt>
                <c:pt idx="97">
                  <c:v>0.70376979023607289</c:v>
                </c:pt>
                <c:pt idx="98">
                  <c:v>0.63514925770511221</c:v>
                </c:pt>
                <c:pt idx="99">
                  <c:v>0.57167313495836458</c:v>
                </c:pt>
                <c:pt idx="100">
                  <c:v>0.51332265558305368</c:v>
                </c:pt>
                <c:pt idx="101">
                  <c:v>0.46001299638578785</c:v>
                </c:pt>
                <c:pt idx="102">
                  <c:v>0.41160253731108726</c:v>
                </c:pt>
                <c:pt idx="103">
                  <c:v>0.3679022701743801</c:v>
                </c:pt>
                <c:pt idx="104">
                  <c:v>0.32868508910359762</c:v>
                </c:pt>
                <c:pt idx="105">
                  <c:v>0.29369473222372899</c:v>
                </c:pt>
                <c:pt idx="106">
                  <c:v>0.26265418426104292</c:v>
                </c:pt>
                <c:pt idx="107">
                  <c:v>0.23527339135684106</c:v>
                </c:pt>
                <c:pt idx="108">
                  <c:v>0.21125618063209564</c:v>
                </c:pt>
                <c:pt idx="109">
                  <c:v>0.19030631636230969</c:v>
                </c:pt>
                <c:pt idx="110">
                  <c:v>0.17213266073537206</c:v>
                </c:pt>
                <c:pt idx="111">
                  <c:v>0.15645343912248677</c:v>
                </c:pt>
                <c:pt idx="112">
                  <c:v>0.14299963696089124</c:v>
                </c:pt>
                <c:pt idx="113">
                  <c:v>0.13151757739650707</c:v>
                </c:pt>
                <c:pt idx="114">
                  <c:v>0.12177074570621502</c:v>
                </c:pt>
                <c:pt idx="115">
                  <c:v>0.11354093838677855</c:v>
                </c:pt>
                <c:pt idx="116">
                  <c:v>0.106628822021186</c:v>
                </c:pt>
                <c:pt idx="117">
                  <c:v>0.10085399011339627</c:v>
                </c:pt>
                <c:pt idx="118">
                  <c:v>9.6054605611647997E-2</c:v>
                </c:pt>
                <c:pt idx="119">
                  <c:v>9.2086713459931233E-2</c:v>
                </c:pt>
                <c:pt idx="120">
                  <c:v>8.8823301878396044E-2</c:v>
                </c:pt>
                <c:pt idx="121">
                  <c:v>8.6153183805742703E-2</c:v>
                </c:pt>
                <c:pt idx="122">
                  <c:v>8.3979761621931812E-2</c:v>
                </c:pt>
                <c:pt idx="123">
                  <c:v>8.2219729424159532E-2</c:v>
                </c:pt>
                <c:pt idx="124">
                  <c:v>8.0801758192135253E-2</c:v>
                </c:pt>
                <c:pt idx="125">
                  <c:v>7.9665200507005179E-2</c:v>
                </c:pt>
                <c:pt idx="126">
                  <c:v>7.8758843355915889E-2</c:v>
                </c:pt>
                <c:pt idx="127">
                  <c:v>7.8039730156794163E-2</c:v>
                </c:pt>
                <c:pt idx="128">
                  <c:v>7.7472066599639802E-2</c:v>
                </c:pt>
                <c:pt idx="129">
                  <c:v>7.7026219283573033E-2</c:v>
                </c:pt>
                <c:pt idx="130">
                  <c:v>7.6677811443413318E-2</c:v>
                </c:pt>
                <c:pt idx="131">
                  <c:v>7.6406916275091857E-2</c:v>
                </c:pt>
                <c:pt idx="132">
                  <c:v>7.619734542458001E-2</c:v>
                </c:pt>
                <c:pt idx="133">
                  <c:v>7.603602801821488E-2</c:v>
                </c:pt>
                <c:pt idx="134">
                  <c:v>7.5912474088872639E-2</c:v>
                </c:pt>
                <c:pt idx="135">
                  <c:v>7.5818315292672467E-2</c:v>
                </c:pt>
                <c:pt idx="136">
                  <c:v>7.5746915315568999E-2</c:v>
                </c:pt>
                <c:pt idx="137">
                  <c:v>7.5693042243929129E-2</c:v>
                </c:pt>
                <c:pt idx="138">
                  <c:v>7.5652595331530362E-2</c:v>
                </c:pt>
                <c:pt idx="139">
                  <c:v>7.5622378960755438E-2</c:v>
                </c:pt>
                <c:pt idx="140">
                  <c:v>7.5599917102304695E-2</c:v>
                </c:pt>
                <c:pt idx="141">
                  <c:v>7.5583302170754624E-2</c:v>
                </c:pt>
                <c:pt idx="142">
                  <c:v>7.5571072808638839E-2</c:v>
                </c:pt>
                <c:pt idx="143">
                  <c:v>7.5562115775143199E-2</c:v>
                </c:pt>
                <c:pt idx="144">
                  <c:v>7.5555587741479538E-2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60E-49F6-8037-3658F0DCBDB8}"/>
            </c:ext>
          </c:extLst>
        </c:ser>
        <c:ser>
          <c:idx val="1"/>
          <c:order val="1"/>
          <c:tx>
            <c:strRef>
              <c:f>'ignore this sheet'!$O$1</c:f>
              <c:strCache>
                <c:ptCount val="1"/>
                <c:pt idx="0">
                  <c:v>R1_20000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'ignore this sheet'!$J$2:$J$146</c:f>
              <c:numCache>
                <c:formatCode>General</c:formatCode>
                <c:ptCount val="145"/>
                <c:pt idx="0">
                  <c:v>0</c:v>
                </c:pt>
                <c:pt idx="1">
                  <c:v>0.16666666666666666</c:v>
                </c:pt>
                <c:pt idx="2">
                  <c:v>0.33333333333333331</c:v>
                </c:pt>
                <c:pt idx="3">
                  <c:v>0.5</c:v>
                </c:pt>
                <c:pt idx="4">
                  <c:v>0.66666666666666663</c:v>
                </c:pt>
                <c:pt idx="5">
                  <c:v>0.83333333333333337</c:v>
                </c:pt>
                <c:pt idx="6">
                  <c:v>1</c:v>
                </c:pt>
                <c:pt idx="7">
                  <c:v>1.1666666666666667</c:v>
                </c:pt>
                <c:pt idx="8">
                  <c:v>1.3333333333333333</c:v>
                </c:pt>
                <c:pt idx="9">
                  <c:v>1.5</c:v>
                </c:pt>
                <c:pt idx="10">
                  <c:v>1.6666666666666667</c:v>
                </c:pt>
                <c:pt idx="11">
                  <c:v>1.8333333333333333</c:v>
                </c:pt>
                <c:pt idx="12">
                  <c:v>2</c:v>
                </c:pt>
                <c:pt idx="13">
                  <c:v>2.1666666666666665</c:v>
                </c:pt>
                <c:pt idx="14">
                  <c:v>2.3333333333333335</c:v>
                </c:pt>
                <c:pt idx="15">
                  <c:v>2.5</c:v>
                </c:pt>
                <c:pt idx="16">
                  <c:v>2.6666666666666665</c:v>
                </c:pt>
                <c:pt idx="17">
                  <c:v>2.8333333333333335</c:v>
                </c:pt>
                <c:pt idx="18">
                  <c:v>3</c:v>
                </c:pt>
                <c:pt idx="19">
                  <c:v>3.1666666666666665</c:v>
                </c:pt>
                <c:pt idx="20">
                  <c:v>3.3333333333333335</c:v>
                </c:pt>
                <c:pt idx="21">
                  <c:v>3.5</c:v>
                </c:pt>
                <c:pt idx="22">
                  <c:v>3.6666666666666665</c:v>
                </c:pt>
                <c:pt idx="23">
                  <c:v>3.8333333333333335</c:v>
                </c:pt>
                <c:pt idx="24">
                  <c:v>4</c:v>
                </c:pt>
                <c:pt idx="25">
                  <c:v>4.166666666666667</c:v>
                </c:pt>
                <c:pt idx="26">
                  <c:v>4.333333333333333</c:v>
                </c:pt>
                <c:pt idx="27">
                  <c:v>4.5</c:v>
                </c:pt>
                <c:pt idx="28">
                  <c:v>4.666666666666667</c:v>
                </c:pt>
                <c:pt idx="29">
                  <c:v>4.833333333333333</c:v>
                </c:pt>
                <c:pt idx="30">
                  <c:v>5</c:v>
                </c:pt>
                <c:pt idx="31">
                  <c:v>5.166666666666667</c:v>
                </c:pt>
                <c:pt idx="32">
                  <c:v>5.333333333333333</c:v>
                </c:pt>
                <c:pt idx="33">
                  <c:v>5.5</c:v>
                </c:pt>
                <c:pt idx="34">
                  <c:v>5.666666666666667</c:v>
                </c:pt>
                <c:pt idx="35">
                  <c:v>5.833333333333333</c:v>
                </c:pt>
                <c:pt idx="36">
                  <c:v>6</c:v>
                </c:pt>
                <c:pt idx="37">
                  <c:v>6.166666666666667</c:v>
                </c:pt>
                <c:pt idx="38">
                  <c:v>6.333333333333333</c:v>
                </c:pt>
                <c:pt idx="39">
                  <c:v>6.5</c:v>
                </c:pt>
                <c:pt idx="40">
                  <c:v>6.666666666666667</c:v>
                </c:pt>
                <c:pt idx="41">
                  <c:v>6.833333333333333</c:v>
                </c:pt>
                <c:pt idx="42">
                  <c:v>7</c:v>
                </c:pt>
                <c:pt idx="43">
                  <c:v>7.166666666666667</c:v>
                </c:pt>
                <c:pt idx="44">
                  <c:v>7.333333333333333</c:v>
                </c:pt>
                <c:pt idx="45">
                  <c:v>7.5</c:v>
                </c:pt>
                <c:pt idx="46">
                  <c:v>7.666666666666667</c:v>
                </c:pt>
                <c:pt idx="47">
                  <c:v>7.833333333333333</c:v>
                </c:pt>
                <c:pt idx="48">
                  <c:v>8</c:v>
                </c:pt>
                <c:pt idx="49">
                  <c:v>8.1666666666666661</c:v>
                </c:pt>
                <c:pt idx="50">
                  <c:v>8.3333333333333339</c:v>
                </c:pt>
                <c:pt idx="51">
                  <c:v>8.5</c:v>
                </c:pt>
                <c:pt idx="52">
                  <c:v>8.6666666666666661</c:v>
                </c:pt>
                <c:pt idx="53">
                  <c:v>8.8333333333333339</c:v>
                </c:pt>
                <c:pt idx="54">
                  <c:v>9</c:v>
                </c:pt>
                <c:pt idx="55">
                  <c:v>9.1666666666666661</c:v>
                </c:pt>
                <c:pt idx="56">
                  <c:v>9.3333333333333339</c:v>
                </c:pt>
                <c:pt idx="57">
                  <c:v>9.5</c:v>
                </c:pt>
                <c:pt idx="58">
                  <c:v>9.6666666666666661</c:v>
                </c:pt>
                <c:pt idx="59">
                  <c:v>9.8333333333333339</c:v>
                </c:pt>
                <c:pt idx="60">
                  <c:v>10</c:v>
                </c:pt>
                <c:pt idx="61">
                  <c:v>10.166666666666666</c:v>
                </c:pt>
                <c:pt idx="62">
                  <c:v>10.333333333333334</c:v>
                </c:pt>
                <c:pt idx="63">
                  <c:v>10.5</c:v>
                </c:pt>
                <c:pt idx="64">
                  <c:v>10.666666666666666</c:v>
                </c:pt>
                <c:pt idx="65">
                  <c:v>10.833333333333334</c:v>
                </c:pt>
                <c:pt idx="66">
                  <c:v>11</c:v>
                </c:pt>
                <c:pt idx="67">
                  <c:v>11.166666666666666</c:v>
                </c:pt>
                <c:pt idx="68">
                  <c:v>11.333333333333334</c:v>
                </c:pt>
                <c:pt idx="69">
                  <c:v>11.5</c:v>
                </c:pt>
                <c:pt idx="70">
                  <c:v>11.666666666666666</c:v>
                </c:pt>
                <c:pt idx="71">
                  <c:v>11.833333333333334</c:v>
                </c:pt>
                <c:pt idx="72">
                  <c:v>12</c:v>
                </c:pt>
                <c:pt idx="73">
                  <c:v>12.166666666666666</c:v>
                </c:pt>
                <c:pt idx="74">
                  <c:v>12.333333333333334</c:v>
                </c:pt>
                <c:pt idx="75">
                  <c:v>12.5</c:v>
                </c:pt>
                <c:pt idx="76">
                  <c:v>12.666666666666666</c:v>
                </c:pt>
                <c:pt idx="77">
                  <c:v>12.833333333333334</c:v>
                </c:pt>
                <c:pt idx="78">
                  <c:v>13</c:v>
                </c:pt>
                <c:pt idx="79">
                  <c:v>13.166666666666666</c:v>
                </c:pt>
                <c:pt idx="80">
                  <c:v>13.333333333333334</c:v>
                </c:pt>
                <c:pt idx="81">
                  <c:v>13.5</c:v>
                </c:pt>
                <c:pt idx="82">
                  <c:v>13.666666666666666</c:v>
                </c:pt>
                <c:pt idx="83">
                  <c:v>13.833333333333334</c:v>
                </c:pt>
                <c:pt idx="84">
                  <c:v>14</c:v>
                </c:pt>
                <c:pt idx="85">
                  <c:v>14.166666666666666</c:v>
                </c:pt>
                <c:pt idx="86">
                  <c:v>14.333333333333334</c:v>
                </c:pt>
                <c:pt idx="87">
                  <c:v>14.5</c:v>
                </c:pt>
                <c:pt idx="88">
                  <c:v>14.666666666666666</c:v>
                </c:pt>
                <c:pt idx="89">
                  <c:v>14.833333333333334</c:v>
                </c:pt>
                <c:pt idx="90">
                  <c:v>15</c:v>
                </c:pt>
                <c:pt idx="91">
                  <c:v>15.166666666666666</c:v>
                </c:pt>
                <c:pt idx="92">
                  <c:v>15.333333333333334</c:v>
                </c:pt>
                <c:pt idx="93">
                  <c:v>15.5</c:v>
                </c:pt>
                <c:pt idx="94">
                  <c:v>15.666666666666666</c:v>
                </c:pt>
                <c:pt idx="95">
                  <c:v>15.833333333333334</c:v>
                </c:pt>
                <c:pt idx="96">
                  <c:v>16</c:v>
                </c:pt>
                <c:pt idx="97">
                  <c:v>16.166666666666668</c:v>
                </c:pt>
                <c:pt idx="98">
                  <c:v>16.333333333333332</c:v>
                </c:pt>
                <c:pt idx="99">
                  <c:v>16.5</c:v>
                </c:pt>
                <c:pt idx="100">
                  <c:v>16.666666666666668</c:v>
                </c:pt>
                <c:pt idx="101">
                  <c:v>16.833333333333332</c:v>
                </c:pt>
                <c:pt idx="102">
                  <c:v>17</c:v>
                </c:pt>
                <c:pt idx="103">
                  <c:v>17.166666666666668</c:v>
                </c:pt>
                <c:pt idx="104">
                  <c:v>17.333333333333332</c:v>
                </c:pt>
                <c:pt idx="105">
                  <c:v>17.5</c:v>
                </c:pt>
                <c:pt idx="106">
                  <c:v>17.666666666666668</c:v>
                </c:pt>
                <c:pt idx="107">
                  <c:v>17.833333333333332</c:v>
                </c:pt>
                <c:pt idx="108">
                  <c:v>18</c:v>
                </c:pt>
                <c:pt idx="109">
                  <c:v>18.166666666666668</c:v>
                </c:pt>
                <c:pt idx="110">
                  <c:v>18.333333333333332</c:v>
                </c:pt>
                <c:pt idx="111">
                  <c:v>18.5</c:v>
                </c:pt>
                <c:pt idx="112">
                  <c:v>18.666666666666668</c:v>
                </c:pt>
                <c:pt idx="113">
                  <c:v>18.833333333333332</c:v>
                </c:pt>
                <c:pt idx="114">
                  <c:v>19</c:v>
                </c:pt>
                <c:pt idx="115">
                  <c:v>19.166666666666668</c:v>
                </c:pt>
                <c:pt idx="116">
                  <c:v>19.333333333333332</c:v>
                </c:pt>
                <c:pt idx="117">
                  <c:v>19.5</c:v>
                </c:pt>
                <c:pt idx="118">
                  <c:v>19.666666666666668</c:v>
                </c:pt>
                <c:pt idx="119">
                  <c:v>19.833333333333332</c:v>
                </c:pt>
                <c:pt idx="120">
                  <c:v>20</c:v>
                </c:pt>
                <c:pt idx="121">
                  <c:v>20.166666666666668</c:v>
                </c:pt>
                <c:pt idx="122">
                  <c:v>20.333333333333332</c:v>
                </c:pt>
                <c:pt idx="123">
                  <c:v>20.5</c:v>
                </c:pt>
                <c:pt idx="124">
                  <c:v>20.666666666666668</c:v>
                </c:pt>
                <c:pt idx="125">
                  <c:v>20.833333333333332</c:v>
                </c:pt>
                <c:pt idx="126">
                  <c:v>21</c:v>
                </c:pt>
                <c:pt idx="127">
                  <c:v>21.166666666666668</c:v>
                </c:pt>
                <c:pt idx="128">
                  <c:v>21.333333333333332</c:v>
                </c:pt>
                <c:pt idx="129">
                  <c:v>21.5</c:v>
                </c:pt>
                <c:pt idx="130">
                  <c:v>21.666666666666668</c:v>
                </c:pt>
                <c:pt idx="131">
                  <c:v>21.833333333333332</c:v>
                </c:pt>
                <c:pt idx="132">
                  <c:v>22</c:v>
                </c:pt>
                <c:pt idx="133">
                  <c:v>22.166666666666668</c:v>
                </c:pt>
                <c:pt idx="134">
                  <c:v>22.333333333333332</c:v>
                </c:pt>
                <c:pt idx="135">
                  <c:v>22.5</c:v>
                </c:pt>
                <c:pt idx="136">
                  <c:v>22.666666666666668</c:v>
                </c:pt>
                <c:pt idx="137">
                  <c:v>22.833333333333332</c:v>
                </c:pt>
                <c:pt idx="138">
                  <c:v>23</c:v>
                </c:pt>
                <c:pt idx="139">
                  <c:v>23.166666666666668</c:v>
                </c:pt>
                <c:pt idx="140">
                  <c:v>23.333333333333332</c:v>
                </c:pt>
                <c:pt idx="141">
                  <c:v>23.5</c:v>
                </c:pt>
                <c:pt idx="142">
                  <c:v>23.666666666666668</c:v>
                </c:pt>
                <c:pt idx="143">
                  <c:v>23.833333333333332</c:v>
                </c:pt>
                <c:pt idx="144">
                  <c:v>24</c:v>
                </c:pt>
              </c:numCache>
            </c:numRef>
          </c:xVal>
          <c:yVal>
            <c:numRef>
              <c:f>'ignore this sheet'!$O$2:$O$146</c:f>
              <c:numCache>
                <c:formatCode>General</c:formatCode>
                <c:ptCount val="145"/>
                <c:pt idx="0">
                  <c:v>0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0.4</c:v>
                </c:pt>
                <c:pt idx="6">
                  <c:v>0.4</c:v>
                </c:pt>
                <c:pt idx="7">
                  <c:v>0.4</c:v>
                </c:pt>
                <c:pt idx="8">
                  <c:v>0.4</c:v>
                </c:pt>
                <c:pt idx="9">
                  <c:v>0.4</c:v>
                </c:pt>
                <c:pt idx="10">
                  <c:v>0.4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0.4</c:v>
                </c:pt>
                <c:pt idx="17">
                  <c:v>0.4</c:v>
                </c:pt>
                <c:pt idx="18">
                  <c:v>0.4</c:v>
                </c:pt>
                <c:pt idx="19">
                  <c:v>0.4</c:v>
                </c:pt>
                <c:pt idx="20">
                  <c:v>0.4</c:v>
                </c:pt>
                <c:pt idx="21">
                  <c:v>0.4</c:v>
                </c:pt>
                <c:pt idx="22">
                  <c:v>0.4</c:v>
                </c:pt>
                <c:pt idx="23">
                  <c:v>0.4</c:v>
                </c:pt>
                <c:pt idx="24">
                  <c:v>0.4</c:v>
                </c:pt>
                <c:pt idx="25">
                  <c:v>0.4</c:v>
                </c:pt>
                <c:pt idx="26">
                  <c:v>0.4</c:v>
                </c:pt>
                <c:pt idx="27">
                  <c:v>0.4</c:v>
                </c:pt>
                <c:pt idx="28">
                  <c:v>0.4</c:v>
                </c:pt>
                <c:pt idx="29">
                  <c:v>0.4</c:v>
                </c:pt>
                <c:pt idx="30">
                  <c:v>0.4</c:v>
                </c:pt>
                <c:pt idx="31">
                  <c:v>0.4</c:v>
                </c:pt>
                <c:pt idx="32">
                  <c:v>0.5</c:v>
                </c:pt>
                <c:pt idx="33">
                  <c:v>0.5</c:v>
                </c:pt>
                <c:pt idx="34">
                  <c:v>0.5</c:v>
                </c:pt>
                <c:pt idx="35">
                  <c:v>0.5</c:v>
                </c:pt>
                <c:pt idx="36">
                  <c:v>0.5</c:v>
                </c:pt>
                <c:pt idx="37">
                  <c:v>0.5</c:v>
                </c:pt>
                <c:pt idx="38">
                  <c:v>0.5</c:v>
                </c:pt>
                <c:pt idx="39">
                  <c:v>0.5</c:v>
                </c:pt>
                <c:pt idx="40">
                  <c:v>0.5</c:v>
                </c:pt>
                <c:pt idx="41">
                  <c:v>0.5</c:v>
                </c:pt>
                <c:pt idx="42">
                  <c:v>0.5</c:v>
                </c:pt>
                <c:pt idx="43">
                  <c:v>0.5</c:v>
                </c:pt>
                <c:pt idx="44">
                  <c:v>0.5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0.6</c:v>
                </c:pt>
                <c:pt idx="49">
                  <c:v>0.6</c:v>
                </c:pt>
                <c:pt idx="50">
                  <c:v>0.6</c:v>
                </c:pt>
                <c:pt idx="51">
                  <c:v>0.6</c:v>
                </c:pt>
                <c:pt idx="52">
                  <c:v>0.6</c:v>
                </c:pt>
                <c:pt idx="53">
                  <c:v>0.6</c:v>
                </c:pt>
                <c:pt idx="54">
                  <c:v>0.6</c:v>
                </c:pt>
                <c:pt idx="55">
                  <c:v>0.6</c:v>
                </c:pt>
                <c:pt idx="56">
                  <c:v>0.70000000000000007</c:v>
                </c:pt>
                <c:pt idx="57">
                  <c:v>0.70000000000000007</c:v>
                </c:pt>
                <c:pt idx="58">
                  <c:v>0.70000000000000007</c:v>
                </c:pt>
                <c:pt idx="59">
                  <c:v>0.70000000000000007</c:v>
                </c:pt>
                <c:pt idx="60">
                  <c:v>0.8</c:v>
                </c:pt>
                <c:pt idx="61">
                  <c:v>0.8</c:v>
                </c:pt>
                <c:pt idx="62">
                  <c:v>0.89999999999999991</c:v>
                </c:pt>
                <c:pt idx="63">
                  <c:v>0.89999999999999991</c:v>
                </c:pt>
                <c:pt idx="64">
                  <c:v>1</c:v>
                </c:pt>
                <c:pt idx="65">
                  <c:v>1</c:v>
                </c:pt>
                <c:pt idx="66">
                  <c:v>1.0999999999999999</c:v>
                </c:pt>
                <c:pt idx="67">
                  <c:v>1.3</c:v>
                </c:pt>
                <c:pt idx="68">
                  <c:v>1.5</c:v>
                </c:pt>
                <c:pt idx="69">
                  <c:v>1.7999999999999998</c:v>
                </c:pt>
                <c:pt idx="70">
                  <c:v>2.2999999999999998</c:v>
                </c:pt>
                <c:pt idx="71">
                  <c:v>3.4000000000000004</c:v>
                </c:pt>
                <c:pt idx="72">
                  <c:v>7.3999999999999995</c:v>
                </c:pt>
                <c:pt idx="73">
                  <c:v>4.5999999999999996</c:v>
                </c:pt>
                <c:pt idx="74">
                  <c:v>2.7</c:v>
                </c:pt>
                <c:pt idx="75">
                  <c:v>2</c:v>
                </c:pt>
                <c:pt idx="76">
                  <c:v>1.6</c:v>
                </c:pt>
                <c:pt idx="77">
                  <c:v>1.4000000000000001</c:v>
                </c:pt>
                <c:pt idx="78">
                  <c:v>1.2</c:v>
                </c:pt>
                <c:pt idx="79">
                  <c:v>1.0999999999999999</c:v>
                </c:pt>
                <c:pt idx="80">
                  <c:v>1</c:v>
                </c:pt>
                <c:pt idx="81">
                  <c:v>0.89999999999999991</c:v>
                </c:pt>
                <c:pt idx="82">
                  <c:v>0.89999999999999991</c:v>
                </c:pt>
                <c:pt idx="83">
                  <c:v>0.8</c:v>
                </c:pt>
                <c:pt idx="84">
                  <c:v>0.8</c:v>
                </c:pt>
                <c:pt idx="85">
                  <c:v>0.8</c:v>
                </c:pt>
                <c:pt idx="86">
                  <c:v>0.70000000000000007</c:v>
                </c:pt>
                <c:pt idx="87">
                  <c:v>0.70000000000000007</c:v>
                </c:pt>
                <c:pt idx="88">
                  <c:v>0.70000000000000007</c:v>
                </c:pt>
                <c:pt idx="89">
                  <c:v>0.70000000000000007</c:v>
                </c:pt>
                <c:pt idx="90">
                  <c:v>0.6</c:v>
                </c:pt>
                <c:pt idx="91">
                  <c:v>0.6</c:v>
                </c:pt>
                <c:pt idx="92">
                  <c:v>0.6</c:v>
                </c:pt>
                <c:pt idx="93">
                  <c:v>0.6</c:v>
                </c:pt>
                <c:pt idx="94">
                  <c:v>0.6</c:v>
                </c:pt>
                <c:pt idx="95">
                  <c:v>0.6</c:v>
                </c:pt>
                <c:pt idx="96">
                  <c:v>0.6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0.5</c:v>
                </c:pt>
                <c:pt idx="101">
                  <c:v>0.5</c:v>
                </c:pt>
                <c:pt idx="102">
                  <c:v>0.5</c:v>
                </c:pt>
                <c:pt idx="103">
                  <c:v>0.5</c:v>
                </c:pt>
                <c:pt idx="104">
                  <c:v>0.5</c:v>
                </c:pt>
                <c:pt idx="105">
                  <c:v>0.5</c:v>
                </c:pt>
                <c:pt idx="106">
                  <c:v>0.5</c:v>
                </c:pt>
                <c:pt idx="107">
                  <c:v>0.5</c:v>
                </c:pt>
                <c:pt idx="108">
                  <c:v>0.5</c:v>
                </c:pt>
                <c:pt idx="109">
                  <c:v>0.5</c:v>
                </c:pt>
                <c:pt idx="110">
                  <c:v>0.5</c:v>
                </c:pt>
                <c:pt idx="111">
                  <c:v>0.5</c:v>
                </c:pt>
                <c:pt idx="112">
                  <c:v>0.5</c:v>
                </c:pt>
                <c:pt idx="113">
                  <c:v>0.5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0.4</c:v>
                </c:pt>
                <c:pt idx="119">
                  <c:v>0.4</c:v>
                </c:pt>
                <c:pt idx="120">
                  <c:v>0.4</c:v>
                </c:pt>
                <c:pt idx="121">
                  <c:v>0.4</c:v>
                </c:pt>
                <c:pt idx="122">
                  <c:v>0.4</c:v>
                </c:pt>
                <c:pt idx="123">
                  <c:v>0.4</c:v>
                </c:pt>
                <c:pt idx="124">
                  <c:v>0.4</c:v>
                </c:pt>
                <c:pt idx="125">
                  <c:v>0.4</c:v>
                </c:pt>
                <c:pt idx="126">
                  <c:v>0.4</c:v>
                </c:pt>
                <c:pt idx="127">
                  <c:v>0.4</c:v>
                </c:pt>
                <c:pt idx="128">
                  <c:v>0.4</c:v>
                </c:pt>
                <c:pt idx="129">
                  <c:v>0.4</c:v>
                </c:pt>
                <c:pt idx="130">
                  <c:v>0.4</c:v>
                </c:pt>
                <c:pt idx="131">
                  <c:v>0.4</c:v>
                </c:pt>
                <c:pt idx="132">
                  <c:v>0.4</c:v>
                </c:pt>
                <c:pt idx="133">
                  <c:v>0.4</c:v>
                </c:pt>
                <c:pt idx="134">
                  <c:v>0.4</c:v>
                </c:pt>
                <c:pt idx="135">
                  <c:v>0.4</c:v>
                </c:pt>
                <c:pt idx="136">
                  <c:v>0.4</c:v>
                </c:pt>
                <c:pt idx="137">
                  <c:v>0.4</c:v>
                </c:pt>
                <c:pt idx="138">
                  <c:v>0.4</c:v>
                </c:pt>
                <c:pt idx="139">
                  <c:v>0.4</c:v>
                </c:pt>
                <c:pt idx="140">
                  <c:v>0.4</c:v>
                </c:pt>
                <c:pt idx="141">
                  <c:v>0.4</c:v>
                </c:pt>
                <c:pt idx="142">
                  <c:v>0.4</c:v>
                </c:pt>
                <c:pt idx="143">
                  <c:v>0.4</c:v>
                </c:pt>
                <c:pt idx="144">
                  <c:v>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60E-49F6-8037-3658F0DCBD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059712"/>
        <c:axId val="1551055872"/>
      </c:scatterChart>
      <c:valAx>
        <c:axId val="1551059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1055872"/>
        <c:crosses val="autoZero"/>
        <c:crossBetween val="midCat"/>
      </c:valAx>
      <c:valAx>
        <c:axId val="1551055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1059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2.xml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112058</xdr:rowOff>
    </xdr:from>
    <xdr:to>
      <xdr:col>10</xdr:col>
      <xdr:colOff>179855</xdr:colOff>
      <xdr:row>36</xdr:row>
      <xdr:rowOff>47058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4066F18-298C-2653-3ED2-5946386460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266700</xdr:colOff>
          <xdr:row>1</xdr:row>
          <xdr:rowOff>104775</xdr:rowOff>
        </xdr:from>
        <xdr:to>
          <xdr:col>8</xdr:col>
          <xdr:colOff>600075</xdr:colOff>
          <xdr:row>3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BuildBellPMP_withbase</a:t>
              </a:r>
            </a:p>
          </xdr:txBody>
        </xdr:sp>
        <xdr:clientData fPrintsWithSheet="0"/>
      </xdr:twoCellAnchor>
    </mc:Choice>
    <mc:Fallback/>
  </mc:AlternateContent>
  <xdr:twoCellAnchor>
    <xdr:from>
      <xdr:col>28</xdr:col>
      <xdr:colOff>192726</xdr:colOff>
      <xdr:row>42</xdr:row>
      <xdr:rowOff>159759</xdr:rowOff>
    </xdr:from>
    <xdr:to>
      <xdr:col>42</xdr:col>
      <xdr:colOff>43790</xdr:colOff>
      <xdr:row>63</xdr:row>
      <xdr:rowOff>116897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FBE826-74D6-4DE1-B88E-DD257C152D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47625</xdr:colOff>
      <xdr:row>11</xdr:row>
      <xdr:rowOff>91329</xdr:rowOff>
    </xdr:from>
    <xdr:to>
      <xdr:col>12</xdr:col>
      <xdr:colOff>1312</xdr:colOff>
      <xdr:row>28</xdr:row>
      <xdr:rowOff>133351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625C674-12E6-6D87-B826-750E83FB7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625" y="2196354"/>
          <a:ext cx="7789298" cy="3280522"/>
        </a:xfrm>
        <a:prstGeom prst="rect">
          <a:avLst/>
        </a:prstGeom>
      </xdr:spPr>
    </xdr:pic>
    <xdr:clientData/>
  </xdr:twoCellAnchor>
  <xdr:twoCellAnchor editAs="oneCell">
    <xdr:from>
      <xdr:col>27</xdr:col>
      <xdr:colOff>224168</xdr:colOff>
      <xdr:row>0</xdr:row>
      <xdr:rowOff>158258</xdr:rowOff>
    </xdr:from>
    <xdr:to>
      <xdr:col>29</xdr:col>
      <xdr:colOff>336176</xdr:colOff>
      <xdr:row>4</xdr:row>
      <xdr:rowOff>37192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96250D5-CECE-F093-535B-9B7B3B7D82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719227" y="158258"/>
          <a:ext cx="1322244" cy="652140"/>
        </a:xfrm>
        <a:prstGeom prst="rect">
          <a:avLst/>
        </a:prstGeom>
      </xdr:spPr>
    </xdr:pic>
    <xdr:clientData/>
  </xdr:twoCellAnchor>
  <xdr:twoCellAnchor>
    <xdr:from>
      <xdr:col>28</xdr:col>
      <xdr:colOff>218513</xdr:colOff>
      <xdr:row>0</xdr:row>
      <xdr:rowOff>134472</xdr:rowOff>
    </xdr:from>
    <xdr:to>
      <xdr:col>42</xdr:col>
      <xdr:colOff>0</xdr:colOff>
      <xdr:row>21</xdr:row>
      <xdr:rowOff>89648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27BE6411-55E8-6DB5-EBB2-72A78B83E9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42</xdr:col>
      <xdr:colOff>39218</xdr:colOff>
      <xdr:row>0</xdr:row>
      <xdr:rowOff>156883</xdr:rowOff>
    </xdr:from>
    <xdr:to>
      <xdr:col>54</xdr:col>
      <xdr:colOff>257734</xdr:colOff>
      <xdr:row>21</xdr:row>
      <xdr:rowOff>78441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E311D37-C2A6-B4B2-01FC-E50940117F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38099</xdr:colOff>
      <xdr:row>28</xdr:row>
      <xdr:rowOff>100012</xdr:rowOff>
    </xdr:from>
    <xdr:to>
      <xdr:col>23</xdr:col>
      <xdr:colOff>276224</xdr:colOff>
      <xdr:row>45</xdr:row>
      <xdr:rowOff>57150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FE96C1EF-FCA7-0B7F-177C-982EFDF3AF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76E65-FE1B-4F1E-A093-BFF7B9820F6D}">
  <sheetPr codeName="Sheet1"/>
  <dimension ref="A1:AN149"/>
  <sheetViews>
    <sheetView tabSelected="1" zoomScale="85" zoomScaleNormal="85" workbookViewId="0">
      <pane ySplit="3" topLeftCell="A109" activePane="bottomLeft" state="frozen"/>
      <selection pane="bottomLeft" activeCell="U117" sqref="U117"/>
    </sheetView>
  </sheetViews>
  <sheetFormatPr defaultRowHeight="15" x14ac:dyDescent="0.25"/>
  <cols>
    <col min="1" max="4" width="9.140625" style="1"/>
    <col min="5" max="6" width="11" style="1" customWidth="1"/>
    <col min="7" max="12" width="9.140625" style="1"/>
    <col min="13" max="16" width="11.85546875" style="1" customWidth="1"/>
    <col min="17" max="17" width="15.140625" style="1" customWidth="1"/>
    <col min="18" max="30" width="11.85546875" style="1" customWidth="1"/>
    <col min="31" max="31" width="4.5703125" style="1" customWidth="1"/>
    <col min="32" max="32" width="12.85546875" style="1" customWidth="1"/>
    <col min="33" max="33" width="11.85546875" style="1" customWidth="1"/>
    <col min="34" max="34" width="9.140625" style="1"/>
    <col min="35" max="35" width="15.5703125" style="1" bestFit="1" customWidth="1"/>
    <col min="36" max="36" width="11.7109375" style="1" bestFit="1" customWidth="1"/>
    <col min="37" max="38" width="20.42578125" style="1" bestFit="1" customWidth="1"/>
    <col min="39" max="39" width="11.5703125" style="1" customWidth="1"/>
    <col min="40" max="40" width="9.140625" style="1"/>
    <col min="41" max="41" width="11.7109375" style="1" bestFit="1" customWidth="1"/>
    <col min="42" max="42" width="9.140625" style="1"/>
    <col min="43" max="43" width="12.42578125" style="1" customWidth="1"/>
    <col min="44" max="16384" width="9.140625" style="1"/>
  </cols>
  <sheetData>
    <row r="1" spans="1:40" ht="19.5" thickBot="1" x14ac:dyDescent="0.3">
      <c r="Q1" s="30" t="s">
        <v>0</v>
      </c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2"/>
      <c r="AE1" s="2"/>
      <c r="AF1" s="1" t="s">
        <v>12</v>
      </c>
      <c r="AG1" s="3" t="s">
        <v>1</v>
      </c>
    </row>
    <row r="2" spans="1:40" ht="19.5" thickBot="1" x14ac:dyDescent="0.3">
      <c r="A2" s="30" t="s">
        <v>2</v>
      </c>
      <c r="B2" s="31"/>
      <c r="C2" s="31"/>
      <c r="D2" s="31"/>
      <c r="E2" s="31"/>
      <c r="F2" s="32"/>
      <c r="K2" s="4"/>
      <c r="L2" s="4"/>
      <c r="M2" s="4"/>
      <c r="N2" s="4"/>
      <c r="O2" s="4"/>
      <c r="P2" s="4"/>
      <c r="Q2" s="5" t="s">
        <v>3</v>
      </c>
      <c r="R2" s="6">
        <v>27.605283057999998</v>
      </c>
      <c r="S2" s="6">
        <v>55.321425994000009</v>
      </c>
      <c r="T2" s="6">
        <v>105.51387154296701</v>
      </c>
      <c r="U2" s="6">
        <v>137.54524227715635</v>
      </c>
      <c r="V2" s="6">
        <v>168.0902816922891</v>
      </c>
      <c r="W2" s="6">
        <v>205.41853961375159</v>
      </c>
      <c r="X2" s="6">
        <v>251.03638349713168</v>
      </c>
      <c r="Y2" s="6">
        <v>327.2447469092574</v>
      </c>
      <c r="Z2" s="6">
        <v>399.9275027136369</v>
      </c>
      <c r="AA2" s="6">
        <v>488.74047167819447</v>
      </c>
      <c r="AB2" s="6">
        <v>639.09832503000041</v>
      </c>
      <c r="AC2" s="6">
        <v>685.11345478600003</v>
      </c>
      <c r="AD2" s="6">
        <v>1306</v>
      </c>
      <c r="AE2" s="6"/>
      <c r="AF2" s="9">
        <v>571</v>
      </c>
      <c r="AG2" s="10">
        <f>IF(COUNTIF(AF8:AF19, AF2),
    INDEX(AG8:AG19, MATCH(AF2, AF8:AF19, 0)),
    IFERROR(
        INDEX(AG8:AG19, MATCH(AF2, AF8:AF19, 1)) +
        (AF2 - INDEX(AF8:AF19, MATCH(AF2, AF8:AF19, 1))) *
        (INDEX(AG8:AG19, MATCH(AF2, AF8:AF19, 1) + 1) -
         INDEX(AG8:AG19, MATCH(AF2, AF8:AF19, 1))) /
        (INDEX(AF8:AF19, MATCH(AF2, AF8:AF19, 1) + 1) -
         INDEX(AF8:AF19, MATCH(AF2, AF8:AF19, 1))),
    "")
)</f>
        <v>0.76435600000000004</v>
      </c>
    </row>
    <row r="3" spans="1:40" x14ac:dyDescent="0.25">
      <c r="A3" s="1" t="s">
        <v>4</v>
      </c>
      <c r="B3" s="1">
        <v>2</v>
      </c>
      <c r="C3" s="1">
        <v>5</v>
      </c>
      <c r="D3" s="1" t="s">
        <v>5</v>
      </c>
      <c r="E3" s="1" t="s">
        <v>6</v>
      </c>
      <c r="F3" s="1" t="s">
        <v>7</v>
      </c>
      <c r="K3" s="1">
        <f>B3</f>
        <v>2</v>
      </c>
      <c r="L3" s="1">
        <f t="shared" ref="L3:O3" si="0">C3</f>
        <v>5</v>
      </c>
      <c r="M3" s="1" t="str">
        <f t="shared" si="0"/>
        <v>10-1000</v>
      </c>
      <c r="N3" s="1" t="str">
        <f t="shared" si="0"/>
        <v>2000-10000</v>
      </c>
      <c r="O3" s="1" t="str">
        <f t="shared" si="0"/>
        <v>PMP</v>
      </c>
      <c r="R3" s="1">
        <v>2</v>
      </c>
      <c r="S3" s="1">
        <v>5</v>
      </c>
      <c r="T3" s="1">
        <v>10</v>
      </c>
      <c r="U3" s="1">
        <v>25</v>
      </c>
      <c r="V3" s="1">
        <v>50</v>
      </c>
      <c r="W3" s="1">
        <v>100</v>
      </c>
      <c r="X3" s="1">
        <v>200</v>
      </c>
      <c r="Y3" s="1">
        <v>500</v>
      </c>
      <c r="Z3" s="1">
        <v>1000</v>
      </c>
      <c r="AA3" s="1">
        <v>2000</v>
      </c>
      <c r="AB3" s="1">
        <v>5000</v>
      </c>
      <c r="AC3" s="1">
        <v>10000</v>
      </c>
      <c r="AD3" s="1" t="s">
        <v>7</v>
      </c>
      <c r="AJ3" s="1">
        <f>K3</f>
        <v>2</v>
      </c>
      <c r="AK3" s="1">
        <f>L3</f>
        <v>5</v>
      </c>
      <c r="AL3" s="1" t="str">
        <f>M3</f>
        <v>10-1000</v>
      </c>
      <c r="AM3" s="1" t="str">
        <f>N3</f>
        <v>2000-10000</v>
      </c>
      <c r="AN3" s="1" t="str">
        <f>O3</f>
        <v>PMP</v>
      </c>
    </row>
    <row r="4" spans="1:40" x14ac:dyDescent="0.25">
      <c r="A4" s="7">
        <v>0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/>
      <c r="H4" s="7"/>
      <c r="I4" s="7"/>
      <c r="J4" s="8">
        <f>A4*24/100</f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Q4" s="8">
        <f>J4</f>
        <v>0</v>
      </c>
      <c r="R4" s="8">
        <f>$K4*R$2*$AG$2/100</f>
        <v>0</v>
      </c>
      <c r="S4" s="8">
        <f>$L4*S$2*$AG$2/100</f>
        <v>0</v>
      </c>
      <c r="T4" s="8">
        <f>$M4*T$2*$AG$2/100</f>
        <v>0</v>
      </c>
      <c r="U4" s="8">
        <f>$M4*U$2*$AG$2/100</f>
        <v>0</v>
      </c>
      <c r="V4" s="8">
        <f>$M4*V$2*$AG$2/100</f>
        <v>0</v>
      </c>
      <c r="W4" s="8">
        <f>$M4*W$2*$AG$2/100</f>
        <v>0</v>
      </c>
      <c r="X4" s="8">
        <f>$M4*X$2*$AG$2/100</f>
        <v>0</v>
      </c>
      <c r="Y4" s="8">
        <f>$M4*Y$2*$AG$2/100</f>
        <v>0</v>
      </c>
      <c r="Z4" s="8">
        <f>$M4*Z$2*$AG$2/100</f>
        <v>0</v>
      </c>
      <c r="AA4" s="8">
        <f>$N4*AA$2*$AG$2/100</f>
        <v>0</v>
      </c>
      <c r="AB4" s="8">
        <f>$N4*AB$2*$AG$2/100</f>
        <v>0</v>
      </c>
      <c r="AC4" s="8">
        <f>$N4*AC$2*$AG$2/100</f>
        <v>0</v>
      </c>
      <c r="AD4" s="8">
        <f>$O4*AD$2*$AG$2/100</f>
        <v>0</v>
      </c>
      <c r="AE4" s="8"/>
      <c r="AF4" s="8"/>
      <c r="AI4" s="1" t="s">
        <v>8</v>
      </c>
      <c r="AJ4" s="8">
        <f>SUM(LARGE(K4:K148,1),LARGE(K4:K148,2),LARGE(K4:K148,3),LARGE(K4:K148,4),LARGE(K4:K148,5),LARGE(K4:K148,6))</f>
        <v>60.018925751237646</v>
      </c>
      <c r="AK4" s="8">
        <f>SUM(LARGE(L4:L148,1),LARGE(L4:L148,2),LARGE(L4:L148,3),LARGE(L4:L148,4),LARGE(L4:L148,5),LARGE(L4:L148,6))</f>
        <v>50.565222306514471</v>
      </c>
      <c r="AL4" s="8">
        <f>SUM(LARGE(M4:M148,1),LARGE(M4:M148,2),LARGE(M4:M148,3),LARGE(M4:M148,4),LARGE(M4:M148,5),LARGE(M4:M148,6))</f>
        <v>42.359419238852112</v>
      </c>
      <c r="AM4" s="8">
        <f>SUM(LARGE(N4:N148,1),LARGE(N4:N148,2),LARGE(N4:N148,3),LARGE(N4:N148,4),LARGE(N4:N148,5),LARGE(N4:N148,6))</f>
        <v>37.558038092710404</v>
      </c>
      <c r="AN4" s="8">
        <f>SUM(LARGE(O4:O148,1),LARGE(O4:O148,2),LARGE(O4:O148,3),LARGE(O4:O148,4),LARGE(O4:O148,5),LARGE(O4:O148,6))</f>
        <v>22.4</v>
      </c>
    </row>
    <row r="5" spans="1:40" x14ac:dyDescent="0.25">
      <c r="A5" s="7">
        <v>0.69444444444444442</v>
      </c>
      <c r="B5" s="7">
        <v>0.103846307026699</v>
      </c>
      <c r="C5" s="7">
        <v>0.14254830309065586</v>
      </c>
      <c r="D5" s="7">
        <v>0.16209306762160916</v>
      </c>
      <c r="E5" s="7">
        <v>0.19291023223159465</v>
      </c>
      <c r="F5" s="7">
        <v>0.4</v>
      </c>
      <c r="G5" s="7"/>
      <c r="H5" s="7"/>
      <c r="I5" s="7"/>
      <c r="J5" s="8">
        <f t="shared" ref="J5:J68" si="1">A5*24/100</f>
        <v>0.16666666666666663</v>
      </c>
      <c r="K5" s="7">
        <f>B5</f>
        <v>0.103846307026699</v>
      </c>
      <c r="L5" s="7">
        <f t="shared" ref="L5:O5" si="2">C5</f>
        <v>0.14254830309065586</v>
      </c>
      <c r="M5" s="7">
        <f t="shared" si="2"/>
        <v>0.16209306762160916</v>
      </c>
      <c r="N5" s="7">
        <f t="shared" si="2"/>
        <v>0.19291023223159465</v>
      </c>
      <c r="O5" s="7">
        <f t="shared" si="2"/>
        <v>0.4</v>
      </c>
      <c r="P5" s="7"/>
      <c r="Q5" s="8">
        <f t="shared" ref="Q5:Q68" si="3">J5</f>
        <v>0.16666666666666663</v>
      </c>
      <c r="R5" s="8">
        <f t="shared" ref="R5:R68" si="4">$K5*R$2*$AG$2/100</f>
        <v>2.1911844663852001E-2</v>
      </c>
      <c r="S5" s="8">
        <f t="shared" ref="S5:S68" si="5">$L5*S$2*$AG$2/100</f>
        <v>6.0276926128424009E-2</v>
      </c>
      <c r="T5" s="8">
        <f>$M5*T$2*$AG$2/100</f>
        <v>0.13072831967777349</v>
      </c>
      <c r="U5" s="8">
        <f>$M5*U$2*$AG$2/100</f>
        <v>0.17041416583072408</v>
      </c>
      <c r="V5" s="8">
        <f>$M5*V$2*$AG$2/100</f>
        <v>0.20825849491124324</v>
      </c>
      <c r="W5" s="8">
        <f>$M5*W$2*$AG$2/100</f>
        <v>0.2545070152546956</v>
      </c>
      <c r="X5" s="8">
        <f>$M5*X$2*$AG$2/100</f>
        <v>0.31102606806728073</v>
      </c>
      <c r="Y5" s="8">
        <f>$M5*Y$2*$AG$2/100</f>
        <v>0.40544579836978767</v>
      </c>
      <c r="Z5" s="8">
        <f>$M5*Z$2*$AG$2/100</f>
        <v>0.49549741335566388</v>
      </c>
      <c r="AA5" s="8">
        <f>$N5*AA$2*$AG$2/100</f>
        <v>0.72065805711298281</v>
      </c>
      <c r="AB5" s="8">
        <f>$N5*AB$2*$AG$2/100</f>
        <v>0.94236385957318392</v>
      </c>
      <c r="AC5" s="8">
        <f>$N5*AC$2*$AG$2/100</f>
        <v>1.0102141317102438</v>
      </c>
      <c r="AD5" s="8">
        <f t="shared" ref="AD5:AD68" si="6">$O5*AD$2*$AG$2/100</f>
        <v>3.9929957439999999</v>
      </c>
      <c r="AE5" s="8"/>
      <c r="AF5" s="8"/>
      <c r="AG5" s="7"/>
    </row>
    <row r="6" spans="1:40" ht="15.75" thickBot="1" x14ac:dyDescent="0.3">
      <c r="A6" s="7">
        <v>1.3888888888888888</v>
      </c>
      <c r="B6" s="7">
        <v>0.20899637536330312</v>
      </c>
      <c r="C6" s="7">
        <v>0.28676181090705377</v>
      </c>
      <c r="D6" s="7">
        <v>0.32606615448409204</v>
      </c>
      <c r="E6" s="7">
        <v>0.38786349838016398</v>
      </c>
      <c r="F6" s="7">
        <v>0.8</v>
      </c>
      <c r="G6" s="7"/>
      <c r="H6" s="7"/>
      <c r="I6" s="7"/>
      <c r="J6" s="8">
        <f t="shared" si="1"/>
        <v>0.33333333333333326</v>
      </c>
      <c r="K6" s="7">
        <f>B6-B5</f>
        <v>0.10515006833660412</v>
      </c>
      <c r="L6" s="7">
        <f t="shared" ref="L6:O21" si="7">C6-C5</f>
        <v>0.14421350781639791</v>
      </c>
      <c r="M6" s="7">
        <f t="shared" si="7"/>
        <v>0.16397308686248288</v>
      </c>
      <c r="N6" s="7">
        <f t="shared" si="7"/>
        <v>0.19495326614856934</v>
      </c>
      <c r="O6" s="7">
        <f t="shared" si="7"/>
        <v>0.4</v>
      </c>
      <c r="P6" s="7"/>
      <c r="Q6" s="8">
        <f t="shared" si="3"/>
        <v>0.33333333333333326</v>
      </c>
      <c r="R6" s="8">
        <f t="shared" si="4"/>
        <v>2.2186941738743998E-2</v>
      </c>
      <c r="S6" s="8">
        <f t="shared" si="5"/>
        <v>6.0981062340963996E-2</v>
      </c>
      <c r="T6" s="8">
        <f>$M6*T$2*$AG$2/100</f>
        <v>0.13224455821855449</v>
      </c>
      <c r="U6" s="8">
        <f>$M6*U$2*$AG$2/100</f>
        <v>0.17239069644600682</v>
      </c>
      <c r="V6" s="8">
        <f>$M6*V$2*$AG$2/100</f>
        <v>0.21067395896071464</v>
      </c>
      <c r="W6" s="8">
        <f>$M6*W$2*$AG$2/100</f>
        <v>0.25745888785873028</v>
      </c>
      <c r="X6" s="8">
        <f>$M6*X$2*$AG$2/100</f>
        <v>0.31463347090664706</v>
      </c>
      <c r="Y6" s="8">
        <f>$M6*Y$2*$AG$2/100</f>
        <v>0.41014831842972016</v>
      </c>
      <c r="Z6" s="8">
        <f>$M6*Z$2*$AG$2/100</f>
        <v>0.50124438751427758</v>
      </c>
      <c r="AA6" s="8">
        <f>$N6*AA$2*$AG$2/100</f>
        <v>0.72829025389275404</v>
      </c>
      <c r="AB6" s="8">
        <f>$N6*AB$2*$AG$2/100</f>
        <v>0.95234405245858667</v>
      </c>
      <c r="AC6" s="8">
        <f>$N6*AC$2*$AG$2/100</f>
        <v>1.0209128992697238</v>
      </c>
      <c r="AD6" s="8">
        <f t="shared" si="6"/>
        <v>3.9929957439999999</v>
      </c>
      <c r="AE6" s="8"/>
      <c r="AF6" s="8"/>
      <c r="AG6" s="7"/>
    </row>
    <row r="7" spans="1:40" x14ac:dyDescent="0.25">
      <c r="A7" s="7">
        <v>2.083333333333333</v>
      </c>
      <c r="B7" s="7">
        <v>0.31548620898767099</v>
      </c>
      <c r="C7" s="7">
        <v>0.4326849004686919</v>
      </c>
      <c r="D7" s="7">
        <v>0.49196973259501714</v>
      </c>
      <c r="E7" s="7">
        <v>0.58491178203772254</v>
      </c>
      <c r="F7" s="7">
        <v>1.2000000000000002</v>
      </c>
      <c r="G7" s="7"/>
      <c r="H7" s="7"/>
      <c r="I7" s="7"/>
      <c r="J7" s="8">
        <f t="shared" si="1"/>
        <v>0.49999999999999994</v>
      </c>
      <c r="K7" s="7">
        <f t="shared" ref="K7:O69" si="8">B7-B6</f>
        <v>0.10648983362436787</v>
      </c>
      <c r="L7" s="7">
        <f t="shared" si="7"/>
        <v>0.14592308956163813</v>
      </c>
      <c r="M7" s="7">
        <f t="shared" si="7"/>
        <v>0.1659035781109251</v>
      </c>
      <c r="N7" s="7">
        <f t="shared" si="7"/>
        <v>0.19704828365755855</v>
      </c>
      <c r="O7" s="7">
        <f t="shared" si="7"/>
        <v>0.40000000000000013</v>
      </c>
      <c r="P7" s="7"/>
      <c r="Q7" s="8">
        <f t="shared" si="3"/>
        <v>0.49999999999999994</v>
      </c>
      <c r="R7" s="8">
        <f t="shared" si="4"/>
        <v>2.2469635747920005E-2</v>
      </c>
      <c r="S7" s="8">
        <f t="shared" si="5"/>
        <v>6.1703963493303995E-2</v>
      </c>
      <c r="T7" s="8">
        <f>$M7*T$2*$AG$2/100</f>
        <v>0.13380150251459702</v>
      </c>
      <c r="U7" s="8">
        <f>$M7*U$2*$AG$2/100</f>
        <v>0.17442029006511692</v>
      </c>
      <c r="V7" s="8">
        <f>$M7*V$2*$AG$2/100</f>
        <v>0.21315426985703526</v>
      </c>
      <c r="W7" s="8">
        <f>$M7*W$2*$AG$2/100</f>
        <v>0.26049000802213718</v>
      </c>
      <c r="X7" s="8">
        <f>$M7*X$2*$AG$2/100</f>
        <v>0.31833772002261129</v>
      </c>
      <c r="Y7" s="8">
        <f>$M7*Y$2*$AG$2/100</f>
        <v>0.41497708487208096</v>
      </c>
      <c r="Z7" s="8">
        <f>$M7*Z$2*$AG$2/100</f>
        <v>0.50714564803173456</v>
      </c>
      <c r="AA7" s="8">
        <f>$N7*AA$2*$AG$2/100</f>
        <v>0.73611664666715759</v>
      </c>
      <c r="AB7" s="8">
        <f>$N7*AB$2*$AG$2/100</f>
        <v>0.96257818448365384</v>
      </c>
      <c r="AC7" s="8">
        <f>$N7*AC$2*$AG$2/100</f>
        <v>1.0318838896069316</v>
      </c>
      <c r="AD7" s="8">
        <f t="shared" si="6"/>
        <v>3.9929957440000017</v>
      </c>
      <c r="AE7" s="8"/>
      <c r="AF7" s="33" t="s">
        <v>13</v>
      </c>
      <c r="AG7" s="34"/>
      <c r="AI7" s="11" t="s">
        <v>9</v>
      </c>
      <c r="AJ7" s="16" t="s">
        <v>10</v>
      </c>
      <c r="AK7" s="1" t="s">
        <v>30</v>
      </c>
    </row>
    <row r="8" spans="1:40" x14ac:dyDescent="0.25">
      <c r="A8" s="7">
        <v>2.7777777777777777</v>
      </c>
      <c r="B8" s="7">
        <v>0.42335336230552345</v>
      </c>
      <c r="C8" s="7">
        <v>0.58036381425674344</v>
      </c>
      <c r="D8" s="7">
        <v>0.65985641958117247</v>
      </c>
      <c r="E8" s="7">
        <v>0.7841091833420436</v>
      </c>
      <c r="F8" s="7">
        <v>1.6</v>
      </c>
      <c r="G8" s="7"/>
      <c r="H8" s="7"/>
      <c r="I8" s="7"/>
      <c r="J8" s="8">
        <f t="shared" si="1"/>
        <v>0.66666666666666652</v>
      </c>
      <c r="K8" s="7">
        <f t="shared" si="8"/>
        <v>0.10786715331785246</v>
      </c>
      <c r="L8" s="7">
        <f t="shared" si="7"/>
        <v>0.14767891378805154</v>
      </c>
      <c r="M8" s="7">
        <f t="shared" si="7"/>
        <v>0.16788668698615533</v>
      </c>
      <c r="N8" s="7">
        <f t="shared" si="7"/>
        <v>0.19919740130432106</v>
      </c>
      <c r="O8" s="7">
        <f t="shared" si="7"/>
        <v>0.39999999999999991</v>
      </c>
      <c r="P8" s="7"/>
      <c r="Q8" s="8">
        <f t="shared" si="3"/>
        <v>0.66666666666666652</v>
      </c>
      <c r="R8" s="8">
        <f t="shared" si="4"/>
        <v>2.2760253835748007E-2</v>
      </c>
      <c r="S8" s="8">
        <f t="shared" si="5"/>
        <v>6.2446418400836007E-2</v>
      </c>
      <c r="T8" s="8">
        <f>$M8*T$2*$AG$2/100</f>
        <v>0.13540088301125167</v>
      </c>
      <c r="U8" s="8">
        <f>$M8*U$2*$AG$2/100</f>
        <v>0.176505202453306</v>
      </c>
      <c r="V8" s="8">
        <f>$M8*V$2*$AG$2/100</f>
        <v>0.21570218430927252</v>
      </c>
      <c r="W8" s="8">
        <f>$M8*W$2*$AG$2/100</f>
        <v>0.26360374464373132</v>
      </c>
      <c r="X8" s="8">
        <f>$M8*X$2*$AG$2/100</f>
        <v>0.32214293245434866</v>
      </c>
      <c r="Y8" s="8">
        <f>$M8*Y$2*$AG$2/100</f>
        <v>0.41993746456610276</v>
      </c>
      <c r="Z8" s="8">
        <f>$M8*Z$2*$AG$2/100</f>
        <v>0.51320775378676331</v>
      </c>
      <c r="AA8" s="8">
        <f>$N8*AA$2*$AG$2/100</f>
        <v>0.7441451422524189</v>
      </c>
      <c r="AB8" s="8">
        <f>$N8*AB$2*$AG$2/100</f>
        <v>0.97307659494561705</v>
      </c>
      <c r="AC8" s="8">
        <f>$N8*AC$2*$AG$2/100</f>
        <v>1.0431381864493141</v>
      </c>
      <c r="AD8" s="8">
        <f t="shared" si="6"/>
        <v>3.9929957439999995</v>
      </c>
      <c r="AE8" s="8"/>
      <c r="AF8" s="12">
        <v>1</v>
      </c>
      <c r="AG8" s="13">
        <v>1</v>
      </c>
      <c r="AI8" s="12">
        <v>2</v>
      </c>
      <c r="AJ8" s="17">
        <v>27.605283057999998</v>
      </c>
      <c r="AK8" s="29">
        <f>AJ8*AJ4/100</f>
        <v>16.568394342000005</v>
      </c>
    </row>
    <row r="9" spans="1:40" x14ac:dyDescent="0.25">
      <c r="A9" s="7">
        <v>3.4722222222222223</v>
      </c>
      <c r="B9" s="7">
        <v>0.53263704158030378</v>
      </c>
      <c r="C9" s="7">
        <v>0.72984676867113063</v>
      </c>
      <c r="D9" s="7">
        <v>0.82978110445283015</v>
      </c>
      <c r="E9" s="7">
        <v>0.98551203887823102</v>
      </c>
      <c r="F9" s="7">
        <v>2</v>
      </c>
      <c r="G9" s="7"/>
      <c r="H9" s="7"/>
      <c r="I9" s="7"/>
      <c r="J9" s="8">
        <f t="shared" si="1"/>
        <v>0.83333333333333348</v>
      </c>
      <c r="K9" s="7">
        <f t="shared" si="8"/>
        <v>0.10928367927478033</v>
      </c>
      <c r="L9" s="7">
        <f t="shared" si="7"/>
        <v>0.14948295441438719</v>
      </c>
      <c r="M9" s="7">
        <f t="shared" si="7"/>
        <v>0.16992468487165768</v>
      </c>
      <c r="N9" s="7">
        <f t="shared" si="7"/>
        <v>0.20140285553618742</v>
      </c>
      <c r="O9" s="7">
        <f t="shared" si="7"/>
        <v>0.39999999999999991</v>
      </c>
      <c r="P9" s="7"/>
      <c r="Q9" s="8">
        <f t="shared" si="3"/>
        <v>0.83333333333333348</v>
      </c>
      <c r="R9" s="8">
        <f t="shared" si="4"/>
        <v>2.3059144548563993E-2</v>
      </c>
      <c r="S9" s="8">
        <f t="shared" si="5"/>
        <v>6.3209261740311995E-2</v>
      </c>
      <c r="T9" s="8">
        <f>$M9*T$2*$AG$2/100</f>
        <v>0.13704453158295074</v>
      </c>
      <c r="U9" s="8">
        <f>$M9*U$2*$AG$2/100</f>
        <v>0.17864782159623821</v>
      </c>
      <c r="V9" s="8">
        <f>$M9*V$2*$AG$2/100</f>
        <v>0.21832062060944676</v>
      </c>
      <c r="W9" s="8">
        <f>$M9*W$2*$AG$2/100</f>
        <v>0.26680366408843831</v>
      </c>
      <c r="X9" s="8">
        <f>$M9*X$2*$AG$2/100</f>
        <v>0.32605346655897144</v>
      </c>
      <c r="Y9" s="8">
        <f>$M9*Y$2*$AG$2/100</f>
        <v>0.42503513895704187</v>
      </c>
      <c r="Z9" s="8">
        <f>$M9*Z$2*$AG$2/100</f>
        <v>0.51943764810308335</v>
      </c>
      <c r="AA9" s="8">
        <f>$N9*AA$2*$AG$2/100</f>
        <v>0.75238409538311812</v>
      </c>
      <c r="AB9" s="8">
        <f>$N9*AB$2*$AG$2/100</f>
        <v>0.983850208859256</v>
      </c>
      <c r="AC9" s="8">
        <f>$N9*AC$2*$AG$2/100</f>
        <v>1.0546875014135757</v>
      </c>
      <c r="AD9" s="8">
        <f t="shared" si="6"/>
        <v>3.9929957439999995</v>
      </c>
      <c r="AE9" s="8"/>
      <c r="AF9" s="12">
        <v>5</v>
      </c>
      <c r="AG9" s="13">
        <v>0.99399999999999999</v>
      </c>
      <c r="AI9" s="12">
        <v>5</v>
      </c>
      <c r="AJ9" s="17">
        <v>55.321425994000009</v>
      </c>
      <c r="AK9" s="29">
        <f>AJ9*AK4/100</f>
        <v>27.973402036999985</v>
      </c>
    </row>
    <row r="10" spans="1:40" x14ac:dyDescent="0.25">
      <c r="A10" s="7">
        <v>4.1666666666666661</v>
      </c>
      <c r="B10" s="7">
        <v>0.643378191873058</v>
      </c>
      <c r="C10" s="7">
        <v>0.88118407152568867</v>
      </c>
      <c r="D10" s="7">
        <v>1.0018010828221182</v>
      </c>
      <c r="E10" s="7">
        <v>1.189179049127741</v>
      </c>
      <c r="F10" s="7">
        <v>2.4</v>
      </c>
      <c r="G10" s="7"/>
      <c r="H10" s="7"/>
      <c r="I10" s="7"/>
      <c r="J10" s="8">
        <f t="shared" si="1"/>
        <v>0.99999999999999989</v>
      </c>
      <c r="K10" s="7">
        <f t="shared" si="8"/>
        <v>0.11074115029275422</v>
      </c>
      <c r="L10" s="7">
        <f t="shared" si="7"/>
        <v>0.15133730285455804</v>
      </c>
      <c r="M10" s="7">
        <f t="shared" si="7"/>
        <v>0.17201997836928806</v>
      </c>
      <c r="N10" s="7">
        <f t="shared" si="7"/>
        <v>0.20366701024950995</v>
      </c>
      <c r="O10" s="7">
        <f t="shared" si="7"/>
        <v>0.39999999999999991</v>
      </c>
      <c r="P10" s="7"/>
      <c r="Q10" s="8">
        <f t="shared" si="3"/>
        <v>0.99999999999999989</v>
      </c>
      <c r="R10" s="8">
        <f t="shared" si="4"/>
        <v>2.3366674777247999E-2</v>
      </c>
      <c r="S10" s="8">
        <f t="shared" si="5"/>
        <v>6.3993377871623999E-2</v>
      </c>
      <c r="T10" s="8">
        <f>$M10*T$2*$AG$2/100</f>
        <v>0.13873438915796074</v>
      </c>
      <c r="U10" s="8">
        <f>$M10*U$2*$AG$2/100</f>
        <v>0.18085067763942667</v>
      </c>
      <c r="V10" s="8">
        <f>$M10*V$2*$AG$2/100</f>
        <v>0.22101267077924469</v>
      </c>
      <c r="W10" s="8">
        <f>$M10*W$2*$AG$2/100</f>
        <v>0.27009354503146138</v>
      </c>
      <c r="X10" s="8">
        <f>$M10*X$2*$AG$2/100</f>
        <v>0.33007394015218033</v>
      </c>
      <c r="Y10" s="8">
        <f>$M10*Y$2*$AG$2/100</f>
        <v>0.43027612771387702</v>
      </c>
      <c r="Z10" s="8">
        <f>$M10*Z$2*$AG$2/100</f>
        <v>0.52584268764937903</v>
      </c>
      <c r="AA10" s="8">
        <f>$N10*AA$2*$AG$2/100</f>
        <v>0.76084233690732783</v>
      </c>
      <c r="AB10" s="8">
        <f>$N10*AB$2*$AG$2/100</f>
        <v>0.99491057382608616</v>
      </c>
      <c r="AC10" s="8">
        <f>$N10*AC$2*$AG$2/100</f>
        <v>1.0665442135294518</v>
      </c>
      <c r="AD10" s="8">
        <f t="shared" si="6"/>
        <v>3.9929957439999995</v>
      </c>
      <c r="AE10" s="8"/>
      <c r="AF10" s="12">
        <v>10</v>
      </c>
      <c r="AG10" s="13">
        <v>0.98699999999999999</v>
      </c>
      <c r="AI10" s="12">
        <v>10</v>
      </c>
      <c r="AJ10" s="17">
        <v>105.51387154296701</v>
      </c>
      <c r="AK10" s="29">
        <f>AJ10*$AL$4/100</f>
        <v>44.695063202029267</v>
      </c>
    </row>
    <row r="11" spans="1:40" x14ac:dyDescent="0.25">
      <c r="A11" s="7">
        <v>4.8611111111111116</v>
      </c>
      <c r="B11" s="7">
        <v>0.7556196057172847</v>
      </c>
      <c r="C11" s="7">
        <v>1.0344282467738009</v>
      </c>
      <c r="D11" s="7">
        <v>1.1759762024484837</v>
      </c>
      <c r="E11" s="7">
        <v>1.3951714165524534</v>
      </c>
      <c r="F11" s="7">
        <v>2.8</v>
      </c>
      <c r="G11" s="7"/>
      <c r="H11" s="7"/>
      <c r="I11" s="7"/>
      <c r="J11" s="8">
        <f t="shared" si="1"/>
        <v>1.166666666666667</v>
      </c>
      <c r="K11" s="7">
        <f t="shared" si="8"/>
        <v>0.1122414138442267</v>
      </c>
      <c r="L11" s="7">
        <f t="shared" si="7"/>
        <v>0.15324417524811218</v>
      </c>
      <c r="M11" s="7">
        <f t="shared" si="7"/>
        <v>0.17417511962636545</v>
      </c>
      <c r="N11" s="7">
        <f t="shared" si="7"/>
        <v>0.20599236742471239</v>
      </c>
      <c r="O11" s="7">
        <f t="shared" si="7"/>
        <v>0.39999999999999991</v>
      </c>
      <c r="P11" s="7"/>
      <c r="Q11" s="8">
        <f t="shared" si="3"/>
        <v>1.166666666666667</v>
      </c>
      <c r="R11" s="8">
        <f t="shared" si="4"/>
        <v>2.3683234343359984E-2</v>
      </c>
      <c r="S11" s="8">
        <f t="shared" si="5"/>
        <v>6.4799703895228045E-2</v>
      </c>
      <c r="T11" s="8">
        <f>$M11*T$2*$AG$2/100</f>
        <v>0.14047251404719821</v>
      </c>
      <c r="U11" s="8">
        <f>$M11*U$2*$AG$2/100</f>
        <v>0.18311645374546948</v>
      </c>
      <c r="V11" s="8">
        <f>$M11*V$2*$AG$2/100</f>
        <v>0.22378161383835071</v>
      </c>
      <c r="W11" s="8">
        <f>$M11*W$2*$AG$2/100</f>
        <v>0.27347739467314641</v>
      </c>
      <c r="X11" s="8">
        <f>$M11*X$2*$AG$2/100</f>
        <v>0.33420925032400789</v>
      </c>
      <c r="Y11" s="8">
        <f>$M11*Y$2*$AG$2/100</f>
        <v>0.43566681456061618</v>
      </c>
      <c r="Z11" s="8">
        <f>$M11*Z$2*$AG$2/100</f>
        <v>0.53243067400787492</v>
      </c>
      <c r="AA11" s="8">
        <f>$N11*AA$2*$AG$2/100</f>
        <v>0.76952921351615022</v>
      </c>
      <c r="AB11" s="8">
        <f>$N11*AB$2*$AG$2/100</f>
        <v>1.0062699119864342</v>
      </c>
      <c r="AC11" s="8">
        <f>$N11*AC$2*$AG$2/100</f>
        <v>1.0787214249323342</v>
      </c>
      <c r="AD11" s="8">
        <f t="shared" si="6"/>
        <v>3.9929957439999995</v>
      </c>
      <c r="AE11" s="8"/>
      <c r="AF11" s="12">
        <v>20</v>
      </c>
      <c r="AG11" s="13">
        <v>0.97599999999999998</v>
      </c>
      <c r="AI11" s="12">
        <v>25</v>
      </c>
      <c r="AJ11" s="17">
        <v>137.54524227715635</v>
      </c>
      <c r="AK11" s="29">
        <f t="shared" ref="AK11:AK16" si="9">AJ11*$AL$4/100</f>
        <v>58.263365819275514</v>
      </c>
    </row>
    <row r="12" spans="1:40" x14ac:dyDescent="0.25">
      <c r="A12" s="7">
        <v>5.5555555555555554</v>
      </c>
      <c r="B12" s="7">
        <v>0.86940603903877567</v>
      </c>
      <c r="C12" s="7">
        <v>1.1896341700797406</v>
      </c>
      <c r="D12" s="7">
        <v>1.3523690200788192</v>
      </c>
      <c r="E12" s="7">
        <v>1.6035529931130559</v>
      </c>
      <c r="F12" s="7">
        <v>3.1999999999999997</v>
      </c>
      <c r="G12" s="7"/>
      <c r="H12" s="7"/>
      <c r="I12" s="7"/>
      <c r="J12" s="8">
        <f t="shared" si="1"/>
        <v>1.333333333333333</v>
      </c>
      <c r="K12" s="7">
        <f t="shared" si="8"/>
        <v>0.11378643332149097</v>
      </c>
      <c r="L12" s="7">
        <f t="shared" si="7"/>
        <v>0.15520592330593974</v>
      </c>
      <c r="M12" s="7">
        <f t="shared" si="7"/>
        <v>0.17639281763033554</v>
      </c>
      <c r="N12" s="7">
        <f t="shared" si="7"/>
        <v>0.20838157656060252</v>
      </c>
      <c r="O12" s="7">
        <f t="shared" si="7"/>
        <v>0.39999999999999991</v>
      </c>
      <c r="P12" s="7"/>
      <c r="Q12" s="8">
        <f t="shared" si="3"/>
        <v>1.333333333333333</v>
      </c>
      <c r="R12" s="8">
        <f t="shared" si="4"/>
        <v>2.4009237527852004E-2</v>
      </c>
      <c r="S12" s="8">
        <f t="shared" si="5"/>
        <v>6.5629234238279904E-2</v>
      </c>
      <c r="T12" s="8">
        <f>$M12*T$2*$AG$2/100</f>
        <v>0.1422610910533941</v>
      </c>
      <c r="U12" s="8">
        <f>$M12*U$2*$AG$2/100</f>
        <v>0.18544799796852818</v>
      </c>
      <c r="V12" s="8">
        <f>$M12*V$2*$AG$2/100</f>
        <v>0.22663093031592293</v>
      </c>
      <c r="W12" s="8">
        <f>$M12*W$2*$AG$2/100</f>
        <v>0.27695946647306025</v>
      </c>
      <c r="X12" s="8">
        <f>$M12*X$2*$AG$2/100</f>
        <v>0.33846459511114985</v>
      </c>
      <c r="Y12" s="8">
        <f>$M12*Y$2*$AG$2/100</f>
        <v>0.44121397552780656</v>
      </c>
      <c r="Z12" s="8">
        <f>$M12*Z$2*$AG$2/100</f>
        <v>0.53920988820065208</v>
      </c>
      <c r="AA12" s="8">
        <f>$N12*AA$2*$AG$2/100</f>
        <v>0.77845462298764001</v>
      </c>
      <c r="AB12" s="8">
        <f>$N12*AB$2*$AG$2/100</f>
        <v>1.0179411661059252</v>
      </c>
      <c r="AC12" s="8">
        <f>$N12*AC$2*$AG$2/100</f>
        <v>1.0912330102679937</v>
      </c>
      <c r="AD12" s="8">
        <f t="shared" si="6"/>
        <v>3.9929957439999995</v>
      </c>
      <c r="AE12" s="8"/>
      <c r="AF12" s="12">
        <v>30</v>
      </c>
      <c r="AG12" s="13">
        <v>0.96499999999999997</v>
      </c>
      <c r="AI12" s="12">
        <v>50</v>
      </c>
      <c r="AJ12" s="17">
        <v>168.0902816922891</v>
      </c>
      <c r="AK12" s="29">
        <f t="shared" si="9"/>
        <v>71.20206712180422</v>
      </c>
    </row>
    <row r="13" spans="1:40" x14ac:dyDescent="0.25">
      <c r="A13" s="7">
        <v>6.25</v>
      </c>
      <c r="B13" s="7">
        <v>0.98478434156543571</v>
      </c>
      <c r="C13" s="7">
        <v>1.3468592080052517</v>
      </c>
      <c r="D13" s="7">
        <v>1.5310449706577558</v>
      </c>
      <c r="E13" s="7">
        <v>1.8143904396232062</v>
      </c>
      <c r="F13" s="7">
        <v>3.5999999999999996</v>
      </c>
      <c r="G13" s="7"/>
      <c r="H13" s="7"/>
      <c r="I13" s="7"/>
      <c r="J13" s="8">
        <f t="shared" si="1"/>
        <v>1.5</v>
      </c>
      <c r="K13" s="7">
        <f t="shared" si="8"/>
        <v>0.11537830252666004</v>
      </c>
      <c r="L13" s="7">
        <f t="shared" si="7"/>
        <v>0.15722503792551112</v>
      </c>
      <c r="M13" s="7">
        <f t="shared" si="7"/>
        <v>0.17867595057893659</v>
      </c>
      <c r="N13" s="7">
        <f t="shared" si="7"/>
        <v>0.21083744651015035</v>
      </c>
      <c r="O13" s="7">
        <f t="shared" si="7"/>
        <v>0.39999999999999991</v>
      </c>
      <c r="P13" s="7"/>
      <c r="Q13" s="8">
        <f t="shared" si="3"/>
        <v>1.5</v>
      </c>
      <c r="R13" s="8">
        <f t="shared" si="4"/>
        <v>2.4345126128492055E-2</v>
      </c>
      <c r="S13" s="8">
        <f t="shared" si="5"/>
        <v>6.6483022183348076E-2</v>
      </c>
      <c r="T13" s="8">
        <f>$M13*T$2*$AG$2/100</f>
        <v>0.1441024414476523</v>
      </c>
      <c r="U13" s="8">
        <f>$M13*U$2*$AG$2/100</f>
        <v>0.18784833625952008</v>
      </c>
      <c r="V13" s="8">
        <f>$M13*V$2*$AG$2/100</f>
        <v>0.22956431814388292</v>
      </c>
      <c r="W13" s="8">
        <f>$M13*W$2*$AG$2/100</f>
        <v>0.28054427957274547</v>
      </c>
      <c r="X13" s="8">
        <f>$M13*X$2*$AG$2/100</f>
        <v>0.34284549723298474</v>
      </c>
      <c r="Y13" s="8">
        <f>$M13*Y$2*$AG$2/100</f>
        <v>0.44692480989421418</v>
      </c>
      <c r="Z13" s="8">
        <f>$M13*Z$2*$AG$2/100</f>
        <v>0.54618912850363532</v>
      </c>
      <c r="AA13" s="8">
        <f>$N13*AA$2*$AG$2/100</f>
        <v>0.78762905840192399</v>
      </c>
      <c r="AB13" s="8">
        <f>$N13*AB$2*$AG$2/100</f>
        <v>1.0299380573930981</v>
      </c>
      <c r="AC13" s="8">
        <f>$N13*AC$2*$AG$2/100</f>
        <v>1.1040936786730644</v>
      </c>
      <c r="AD13" s="8">
        <f t="shared" si="6"/>
        <v>3.9929957439999995</v>
      </c>
      <c r="AE13" s="8"/>
      <c r="AF13" s="12">
        <v>40</v>
      </c>
      <c r="AG13" s="13">
        <v>0.95599999999999996</v>
      </c>
      <c r="AI13" s="12">
        <v>100</v>
      </c>
      <c r="AJ13" s="17">
        <v>205.41853961375159</v>
      </c>
      <c r="AK13" s="29">
        <f t="shared" si="9"/>
        <v>87.014100389316539</v>
      </c>
    </row>
    <row r="14" spans="1:40" x14ac:dyDescent="0.25">
      <c r="A14" s="7">
        <v>6.9444444444444446</v>
      </c>
      <c r="B14" s="7">
        <v>1.1018035763696172</v>
      </c>
      <c r="C14" s="7">
        <v>1.5061633825027751</v>
      </c>
      <c r="D14" s="7">
        <v>1.7120725501060066</v>
      </c>
      <c r="E14" s="7">
        <v>2.027753397111006</v>
      </c>
      <c r="F14" s="7">
        <v>3.9999999999999996</v>
      </c>
      <c r="G14" s="7"/>
      <c r="H14" s="7"/>
      <c r="I14" s="7"/>
      <c r="J14" s="8">
        <f t="shared" si="1"/>
        <v>1.666666666666667</v>
      </c>
      <c r="K14" s="7">
        <f t="shared" si="8"/>
        <v>0.11701923480418153</v>
      </c>
      <c r="L14" s="7">
        <f t="shared" si="7"/>
        <v>0.15930417449752343</v>
      </c>
      <c r="M14" s="7">
        <f t="shared" si="7"/>
        <v>0.18102757944825076</v>
      </c>
      <c r="N14" s="7">
        <f t="shared" si="7"/>
        <v>0.21336295748779976</v>
      </c>
      <c r="O14" s="7">
        <f t="shared" si="7"/>
        <v>0.39999999999999991</v>
      </c>
      <c r="P14" s="7"/>
      <c r="Q14" s="8">
        <f t="shared" si="3"/>
        <v>1.666666666666667</v>
      </c>
      <c r="R14" s="8">
        <f t="shared" si="4"/>
        <v>2.4691367166795972E-2</v>
      </c>
      <c r="S14" s="8">
        <f t="shared" si="5"/>
        <v>6.7362190569396047E-2</v>
      </c>
      <c r="T14" s="8">
        <f>$M14*T$2*$AG$2/100</f>
        <v>0.14599903391210511</v>
      </c>
      <c r="U14" s="8">
        <f>$M14*U$2*$AG$2/100</f>
        <v>0.19032068673068975</v>
      </c>
      <c r="V14" s="8">
        <f>$M14*V$2*$AG$2/100</f>
        <v>0.2325857100892588</v>
      </c>
      <c r="W14" s="8">
        <f>$M14*W$2*$AG$2/100</f>
        <v>0.28423664009931082</v>
      </c>
      <c r="X14" s="8">
        <f>$M14*X$2*$AG$2/100</f>
        <v>0.34735783012610838</v>
      </c>
      <c r="Y14" s="8">
        <f>$M14*Y$2*$AG$2/100</f>
        <v>0.45280697412479237</v>
      </c>
      <c r="Z14" s="8">
        <f>$M14*Z$2*$AG$2/100</f>
        <v>0.55337775192236027</v>
      </c>
      <c r="AA14" s="8">
        <f>$N14*AA$2*$AG$2/100</f>
        <v>0.79706365299712079</v>
      </c>
      <c r="AB14" s="8">
        <f>$N14*AB$2*$AG$2/100</f>
        <v>1.04227514415496</v>
      </c>
      <c r="AC14" s="8">
        <f>$N14*AC$2*$AG$2/100</f>
        <v>1.1173190366538059</v>
      </c>
      <c r="AD14" s="8">
        <f t="shared" si="6"/>
        <v>3.9929957439999995</v>
      </c>
      <c r="AE14" s="8"/>
      <c r="AF14" s="12">
        <v>50</v>
      </c>
      <c r="AG14" s="13">
        <v>0.94799999999999995</v>
      </c>
      <c r="AI14" s="12">
        <v>200</v>
      </c>
      <c r="AJ14" s="17">
        <v>251.03638349713168</v>
      </c>
      <c r="AK14" s="29">
        <f t="shared" si="9"/>
        <v>106.33755412760256</v>
      </c>
    </row>
    <row r="15" spans="1:40" x14ac:dyDescent="0.25">
      <c r="A15" s="7">
        <v>7.6388888888888893</v>
      </c>
      <c r="B15" s="7">
        <v>1.2205151756354073</v>
      </c>
      <c r="C15" s="7">
        <v>1.6676095354086797</v>
      </c>
      <c r="D15" s="7">
        <v>1.8955235130029353</v>
      </c>
      <c r="E15" s="7">
        <v>2.2437146717315803</v>
      </c>
      <c r="F15" s="7">
        <v>4.3999999999999995</v>
      </c>
      <c r="G15" s="7"/>
      <c r="H15" s="7"/>
      <c r="I15" s="7"/>
      <c r="J15" s="8">
        <f t="shared" si="1"/>
        <v>1.8333333333333335</v>
      </c>
      <c r="K15" s="7">
        <f t="shared" si="8"/>
        <v>0.11871159926579011</v>
      </c>
      <c r="L15" s="7">
        <f t="shared" si="7"/>
        <v>0.16144615290590458</v>
      </c>
      <c r="M15" s="7">
        <f t="shared" si="7"/>
        <v>0.18345096289692875</v>
      </c>
      <c r="N15" s="7">
        <f t="shared" si="7"/>
        <v>0.21596127462057435</v>
      </c>
      <c r="O15" s="7">
        <f t="shared" si="7"/>
        <v>0.39999999999999991</v>
      </c>
      <c r="P15" s="7"/>
      <c r="Q15" s="8">
        <f t="shared" si="3"/>
        <v>1.8333333333333335</v>
      </c>
      <c r="R15" s="8">
        <f t="shared" si="4"/>
        <v>2.5048460531588004E-2</v>
      </c>
      <c r="S15" s="8">
        <f t="shared" si="5"/>
        <v>6.8267931791784073E-2</v>
      </c>
      <c r="T15" s="8">
        <f>$M15*T$2*$AG$2/100</f>
        <v>0.14795349656019413</v>
      </c>
      <c r="U15" s="8">
        <f>$M15*U$2*$AG$2/100</f>
        <v>0.19286847532494661</v>
      </c>
      <c r="V15" s="8">
        <f>$M15*V$2*$AG$2/100</f>
        <v>0.23569929290325459</v>
      </c>
      <c r="W15" s="8">
        <f>$M15*W$2*$AG$2/100</f>
        <v>0.28804166456698543</v>
      </c>
      <c r="X15" s="8">
        <f>$M15*X$2*$AG$2/100</f>
        <v>0.3520078465427337</v>
      </c>
      <c r="Y15" s="8">
        <f>$M15*Y$2*$AG$2/100</f>
        <v>0.45886861915084026</v>
      </c>
      <c r="Z15" s="8">
        <f>$M15*Z$2*$AG$2/100</f>
        <v>0.56078571975224911</v>
      </c>
      <c r="AA15" s="8">
        <f>$N15*AA$2*$AG$2/100</f>
        <v>0.80677023079243815</v>
      </c>
      <c r="AB15" s="8">
        <f>$N15*AB$2*$AG$2/100</f>
        <v>1.0549678879939546</v>
      </c>
      <c r="AC15" s="8">
        <f>$N15*AC$2*$AG$2/100</f>
        <v>1.1309256590492551</v>
      </c>
      <c r="AD15" s="8">
        <f t="shared" si="6"/>
        <v>3.9929957439999995</v>
      </c>
      <c r="AE15" s="8"/>
      <c r="AF15" s="12">
        <v>100</v>
      </c>
      <c r="AG15" s="13">
        <v>0.91300000000000003</v>
      </c>
      <c r="AI15" s="12">
        <v>500</v>
      </c>
      <c r="AJ15" s="17">
        <v>327.2447469092574</v>
      </c>
      <c r="AK15" s="29">
        <f t="shared" si="9"/>
        <v>138.61897428041289</v>
      </c>
    </row>
    <row r="16" spans="1:40" x14ac:dyDescent="0.25">
      <c r="A16" s="7">
        <v>8.3333333333333321</v>
      </c>
      <c r="B16" s="7">
        <v>1.340973092803416</v>
      </c>
      <c r="C16" s="7">
        <v>1.8312635110126694</v>
      </c>
      <c r="D16" s="7">
        <v>2.0814730866650746</v>
      </c>
      <c r="E16" s="7">
        <v>2.462350434259962</v>
      </c>
      <c r="F16" s="7">
        <v>4.8</v>
      </c>
      <c r="G16" s="7"/>
      <c r="H16" s="7"/>
      <c r="I16" s="7"/>
      <c r="J16" s="8">
        <f t="shared" si="1"/>
        <v>1.9999999999999998</v>
      </c>
      <c r="K16" s="7">
        <f t="shared" si="8"/>
        <v>0.12045791716800869</v>
      </c>
      <c r="L16" s="7">
        <f t="shared" si="7"/>
        <v>0.16365397560398964</v>
      </c>
      <c r="M16" s="7">
        <f t="shared" si="7"/>
        <v>0.18594957366213927</v>
      </c>
      <c r="N16" s="7">
        <f t="shared" si="7"/>
        <v>0.21863576252838168</v>
      </c>
      <c r="O16" s="7">
        <f t="shared" si="7"/>
        <v>0.40000000000000036</v>
      </c>
      <c r="P16" s="7"/>
      <c r="Q16" s="8">
        <f t="shared" si="3"/>
        <v>1.9999999999999998</v>
      </c>
      <c r="R16" s="8">
        <f t="shared" si="4"/>
        <v>2.5416938214643983E-2</v>
      </c>
      <c r="S16" s="8">
        <f t="shared" si="5"/>
        <v>6.9201515445827977E-2</v>
      </c>
      <c r="T16" s="8">
        <f>$M16*T$2*$AG$2/100</f>
        <v>0.14996863016002995</v>
      </c>
      <c r="U16" s="8">
        <f>$M16*U$2*$AG$2/100</f>
        <v>0.19549535305350565</v>
      </c>
      <c r="V16" s="8">
        <f>$M16*V$2*$AG$2/100</f>
        <v>0.23890952838689966</v>
      </c>
      <c r="W16" s="8">
        <f>$M16*W$2*$AG$2/100</f>
        <v>0.29196480562087351</v>
      </c>
      <c r="X16" s="8">
        <f>$M16*X$2*$AG$2/100</f>
        <v>0.35680221001143025</v>
      </c>
      <c r="Y16" s="8">
        <f>$M16*Y$2*$AG$2/100</f>
        <v>0.46511843138143483</v>
      </c>
      <c r="Z16" s="8">
        <f>$M16*Z$2*$AG$2/100</f>
        <v>0.56842364769889353</v>
      </c>
      <c r="AA16" s="8">
        <f>$N16*AA$2*$AG$2/100</f>
        <v>0.81676136105606612</v>
      </c>
      <c r="AB16" s="8">
        <f>$N16*AB$2*$AG$2/100</f>
        <v>1.0680327250325488</v>
      </c>
      <c r="AC16" s="8">
        <f>$N16*AC$2*$AG$2/100</f>
        <v>1.1449311653839915</v>
      </c>
      <c r="AD16" s="8">
        <f t="shared" si="6"/>
        <v>3.9929957440000035</v>
      </c>
      <c r="AE16" s="8"/>
      <c r="AF16" s="12">
        <v>200</v>
      </c>
      <c r="AG16" s="13">
        <v>0.86399999999999999</v>
      </c>
      <c r="AI16" s="12">
        <v>1000</v>
      </c>
      <c r="AJ16" s="17">
        <v>399.9275027136369</v>
      </c>
      <c r="AK16" s="29">
        <f t="shared" si="9"/>
        <v>169.4069675259411</v>
      </c>
    </row>
    <row r="17" spans="1:37" x14ac:dyDescent="0.25">
      <c r="A17" s="7">
        <v>9.0277777777777768</v>
      </c>
      <c r="B17" s="7">
        <v>1.4632339764505378</v>
      </c>
      <c r="C17" s="7">
        <v>1.997194356703371</v>
      </c>
      <c r="D17" s="7">
        <v>2.2700002032935021</v>
      </c>
      <c r="E17" s="7">
        <v>2.6837404360511496</v>
      </c>
      <c r="F17" s="7">
        <v>5.2</v>
      </c>
      <c r="G17" s="7"/>
      <c r="H17" s="7"/>
      <c r="I17" s="7"/>
      <c r="J17" s="8">
        <f t="shared" si="1"/>
        <v>2.1666666666666661</v>
      </c>
      <c r="K17" s="7">
        <f t="shared" si="8"/>
        <v>0.12226088364712173</v>
      </c>
      <c r="L17" s="7">
        <f t="shared" si="7"/>
        <v>0.1659308456907016</v>
      </c>
      <c r="M17" s="7">
        <f t="shared" si="7"/>
        <v>0.18852711662842747</v>
      </c>
      <c r="N17" s="7">
        <f t="shared" si="7"/>
        <v>0.22139000179118762</v>
      </c>
      <c r="O17" s="7">
        <f t="shared" si="7"/>
        <v>0.40000000000000036</v>
      </c>
      <c r="P17" s="7"/>
      <c r="Q17" s="8">
        <f t="shared" si="3"/>
        <v>2.1666666666666661</v>
      </c>
      <c r="R17" s="8">
        <f t="shared" si="4"/>
        <v>2.5797368896827991E-2</v>
      </c>
      <c r="S17" s="8">
        <f t="shared" si="5"/>
        <v>7.0164295970359891E-2</v>
      </c>
      <c r="T17" s="8">
        <f>$M17*T$2*$AG$2/100</f>
        <v>0.15204742270695565</v>
      </c>
      <c r="U17" s="8">
        <f>$M17*U$2*$AG$2/100</f>
        <v>0.19820521499231628</v>
      </c>
      <c r="V17" s="8">
        <f>$M17*V$2*$AG$2/100</f>
        <v>0.24222117660606557</v>
      </c>
      <c r="W17" s="8">
        <f>$M17*W$2*$AG$2/100</f>
        <v>0.29601188040739129</v>
      </c>
      <c r="X17" s="8">
        <f>$M17*X$2*$AG$2/100</f>
        <v>0.36174802950786022</v>
      </c>
      <c r="Y17" s="8">
        <f>$M17*Y$2*$AG$2/100</f>
        <v>0.47156567789933485</v>
      </c>
      <c r="Z17" s="8">
        <f>$M17*Z$2*$AG$2/100</f>
        <v>0.57630286111220441</v>
      </c>
      <c r="AA17" s="8">
        <f>$N17*AA$2*$AG$2/100</f>
        <v>0.82705041982188177</v>
      </c>
      <c r="AB17" s="8">
        <f>$N17*AB$2*$AG$2/100</f>
        <v>1.0814871463551554</v>
      </c>
      <c r="AC17" s="8">
        <f>$N17*AC$2*$AG$2/100</f>
        <v>1.1593543061018849</v>
      </c>
      <c r="AD17" s="8">
        <f t="shared" si="6"/>
        <v>3.9929957440000035</v>
      </c>
      <c r="AE17" s="8"/>
      <c r="AF17" s="12">
        <v>500</v>
      </c>
      <c r="AG17" s="13">
        <v>0.77600000000000002</v>
      </c>
      <c r="AH17"/>
      <c r="AI17" s="12">
        <v>2000</v>
      </c>
      <c r="AJ17" s="17">
        <v>488.74047167819447</v>
      </c>
      <c r="AK17" s="29">
        <f>AJ17*$AM$4/100</f>
        <v>183.56133252738877</v>
      </c>
    </row>
    <row r="18" spans="1:37" x14ac:dyDescent="0.25">
      <c r="A18" s="7">
        <v>9.7222222222222232</v>
      </c>
      <c r="B18" s="7">
        <v>1.5873573441697111</v>
      </c>
      <c r="C18" s="7">
        <v>2.1654745380748652</v>
      </c>
      <c r="D18" s="7">
        <v>2.4611877520605741</v>
      </c>
      <c r="E18" s="7">
        <v>2.9079682431826575</v>
      </c>
      <c r="F18" s="7">
        <v>5.6000000000000005</v>
      </c>
      <c r="G18" s="7"/>
      <c r="H18" s="7"/>
      <c r="I18" s="7"/>
      <c r="J18" s="8">
        <f t="shared" si="1"/>
        <v>2.3333333333333339</v>
      </c>
      <c r="K18" s="7">
        <f t="shared" si="8"/>
        <v>0.12412336771917332</v>
      </c>
      <c r="L18" s="7">
        <f t="shared" si="7"/>
        <v>0.16828018137149425</v>
      </c>
      <c r="M18" s="7">
        <f t="shared" si="7"/>
        <v>0.191187548767072</v>
      </c>
      <c r="N18" s="7">
        <f t="shared" si="7"/>
        <v>0.22422780713150781</v>
      </c>
      <c r="O18" s="7">
        <f t="shared" si="7"/>
        <v>0.40000000000000036</v>
      </c>
      <c r="P18" s="7"/>
      <c r="Q18" s="8">
        <f t="shared" si="3"/>
        <v>2.3333333333333339</v>
      </c>
      <c r="R18" s="8">
        <f t="shared" si="4"/>
        <v>2.6190357948091991E-2</v>
      </c>
      <c r="S18" s="8">
        <f t="shared" si="5"/>
        <v>7.115771876257615E-2</v>
      </c>
      <c r="T18" s="8">
        <f>$M18*T$2*$AG$2/100</f>
        <v>0.1541930655046701</v>
      </c>
      <c r="U18" s="8">
        <f>$M18*U$2*$AG$2/100</f>
        <v>0.20100222124501252</v>
      </c>
      <c r="V18" s="8">
        <f>$M18*V$2*$AG$2/100</f>
        <v>0.2456393215097144</v>
      </c>
      <c r="W18" s="8">
        <f>$M18*W$2*$AG$2/100</f>
        <v>0.30018910188162928</v>
      </c>
      <c r="X18" s="8">
        <f>$M18*X$2*$AG$2/100</f>
        <v>0.36685289771464918</v>
      </c>
      <c r="Y18" s="8">
        <f>$M18*Y$2*$AG$2/100</f>
        <v>0.47822025633559101</v>
      </c>
      <c r="Z18" s="8">
        <f>$M18*Z$2*$AG$2/100</f>
        <v>0.58443545593843071</v>
      </c>
      <c r="AA18" s="8">
        <f>$N18*AA$2*$AG$2/100</f>
        <v>0.83765165781409368</v>
      </c>
      <c r="AB18" s="8">
        <f>$N18*AB$2*$AG$2/100</f>
        <v>1.0953497868293582</v>
      </c>
      <c r="AC18" s="8">
        <f>$N18*AC$2*$AG$2/100</f>
        <v>1.1742150577824519</v>
      </c>
      <c r="AD18" s="8">
        <f t="shared" si="6"/>
        <v>3.9929957440000035</v>
      </c>
      <c r="AE18" s="8"/>
      <c r="AF18" s="12">
        <v>1000</v>
      </c>
      <c r="AG18" s="13">
        <v>0.69399999999999995</v>
      </c>
      <c r="AH18"/>
      <c r="AI18" s="12">
        <v>5000</v>
      </c>
      <c r="AJ18" s="17">
        <v>639.09832503000041</v>
      </c>
      <c r="AK18" s="29">
        <f>AJ18*$AM$4/100</f>
        <v>240.03279236464172</v>
      </c>
    </row>
    <row r="19" spans="1:37" ht="15.75" thickBot="1" x14ac:dyDescent="0.3">
      <c r="A19" s="7">
        <v>10.416666666666668</v>
      </c>
      <c r="B19" s="7">
        <v>1.7134057962971243</v>
      </c>
      <c r="C19" s="7">
        <v>2.3361801666865394</v>
      </c>
      <c r="D19" s="7">
        <v>2.655122853245234</v>
      </c>
      <c r="E19" s="7">
        <v>3.1351214894656989</v>
      </c>
      <c r="F19" s="7">
        <v>6.0000000000000009</v>
      </c>
      <c r="G19" s="7"/>
      <c r="H19" s="7"/>
      <c r="I19" s="7"/>
      <c r="J19" s="8">
        <f t="shared" si="1"/>
        <v>2.5000000000000004</v>
      </c>
      <c r="K19" s="7">
        <f t="shared" si="8"/>
        <v>0.12604845212741322</v>
      </c>
      <c r="L19" s="7">
        <f t="shared" si="7"/>
        <v>0.17070562861167415</v>
      </c>
      <c r="M19" s="7">
        <f t="shared" si="7"/>
        <v>0.19393510118465995</v>
      </c>
      <c r="N19" s="7">
        <f t="shared" si="7"/>
        <v>0.22715324628304145</v>
      </c>
      <c r="O19" s="7">
        <f t="shared" si="7"/>
        <v>0.40000000000000036</v>
      </c>
      <c r="P19" s="7"/>
      <c r="Q19" s="8">
        <f t="shared" si="3"/>
        <v>2.5000000000000004</v>
      </c>
      <c r="R19" s="8">
        <f t="shared" si="4"/>
        <v>2.6596555835392031E-2</v>
      </c>
      <c r="S19" s="8">
        <f t="shared" si="5"/>
        <v>7.2183325528527867E-2</v>
      </c>
      <c r="T19" s="8">
        <f>$M19*T$2*$AG$2/100</f>
        <v>0.15640897094743925</v>
      </c>
      <c r="U19" s="8">
        <f>$M19*U$2*$AG$2/100</f>
        <v>0.20389082012335852</v>
      </c>
      <c r="V19" s="8">
        <f>$M19*V$2*$AG$2/100</f>
        <v>0.2491693992580877</v>
      </c>
      <c r="W19" s="8">
        <f>$M19*W$2*$AG$2/100</f>
        <v>0.30450311342645675</v>
      </c>
      <c r="X19" s="8">
        <f>$M19*X$2*$AG$2/100</f>
        <v>0.37212493332844865</v>
      </c>
      <c r="Y19" s="8">
        <f>$M19*Y$2*$AG$2/100</f>
        <v>0.48509275001997415</v>
      </c>
      <c r="Z19" s="8">
        <f>$M19*Z$2*$AG$2/100</f>
        <v>0.59283436611978402</v>
      </c>
      <c r="AA19" s="8">
        <f>$N19*AA$2*$AG$2/100</f>
        <v>0.84858027093512012</v>
      </c>
      <c r="AB19" s="8">
        <f>$N19*AB$2*$AG$2/100</f>
        <v>1.1096405172789285</v>
      </c>
      <c r="AC19" s="8">
        <f>$N19*AC$2*$AG$2/100</f>
        <v>1.189534721950342</v>
      </c>
      <c r="AD19" s="8">
        <f t="shared" si="6"/>
        <v>3.9929957440000035</v>
      </c>
      <c r="AE19" s="8"/>
      <c r="AF19" s="14">
        <v>2000</v>
      </c>
      <c r="AG19" s="15">
        <v>0.60599999999999998</v>
      </c>
      <c r="AI19" s="14">
        <v>10000</v>
      </c>
      <c r="AJ19" s="18">
        <v>685.11345478600003</v>
      </c>
      <c r="AK19" s="29">
        <f>AJ19*$AM$4/100</f>
        <v>257.31517232681017</v>
      </c>
    </row>
    <row r="20" spans="1:37" x14ac:dyDescent="0.25">
      <c r="A20" s="7">
        <v>11.111111111111111</v>
      </c>
      <c r="B20" s="7">
        <v>1.8414452296394199</v>
      </c>
      <c r="C20" s="7">
        <v>2.5093912621676875</v>
      </c>
      <c r="D20" s="7">
        <v>2.8518971567846814</v>
      </c>
      <c r="E20" s="7">
        <v>3.3652921517556647</v>
      </c>
      <c r="F20" s="7">
        <v>6.4000000000000012</v>
      </c>
      <c r="G20" s="7"/>
      <c r="H20" s="7"/>
      <c r="I20" s="7"/>
      <c r="J20" s="8">
        <f t="shared" si="1"/>
        <v>2.6666666666666661</v>
      </c>
      <c r="K20" s="7">
        <f t="shared" si="8"/>
        <v>0.12803943334229562</v>
      </c>
      <c r="L20" s="7">
        <f t="shared" si="7"/>
        <v>0.1732110954811481</v>
      </c>
      <c r="M20" s="7">
        <f t="shared" si="7"/>
        <v>0.19677430353944736</v>
      </c>
      <c r="N20" s="7">
        <f t="shared" si="7"/>
        <v>0.23017066228996574</v>
      </c>
      <c r="O20" s="7">
        <f t="shared" si="7"/>
        <v>0.40000000000000036</v>
      </c>
      <c r="P20" s="7"/>
      <c r="Q20" s="8">
        <f t="shared" si="3"/>
        <v>2.6666666666666661</v>
      </c>
      <c r="R20" s="8">
        <f t="shared" si="4"/>
        <v>2.7016658122687952E-2</v>
      </c>
      <c r="S20" s="8">
        <f t="shared" si="5"/>
        <v>7.3242768805888037E-2</v>
      </c>
      <c r="T20" s="8">
        <f>$M20*T$2*$AG$2/100</f>
        <v>0.15869879221193023</v>
      </c>
      <c r="U20" s="8">
        <f>$M20*U$2*$AG$2/100</f>
        <v>0.20687577381703037</v>
      </c>
      <c r="V20" s="8">
        <f>$M20*V$2*$AG$2/100</f>
        <v>0.25281722959304559</v>
      </c>
      <c r="W20" s="8">
        <f>$M20*W$2*$AG$2/100</f>
        <v>0.30896102718935675</v>
      </c>
      <c r="X20" s="8">
        <f>$M20*X$2*$AG$2/100</f>
        <v>0.3775728279103337</v>
      </c>
      <c r="Y20" s="8">
        <f>$M20*Y$2*$AG$2/100</f>
        <v>0.49219448905398017</v>
      </c>
      <c r="Z20" s="8">
        <f>$M20*Z$2*$AG$2/100</f>
        <v>0.60151343823207548</v>
      </c>
      <c r="AA20" s="8">
        <f>$N20*AA$2*$AG$2/100</f>
        <v>0.85985248356944577</v>
      </c>
      <c r="AB20" s="8">
        <f>$N20*AB$2*$AG$2/100</f>
        <v>1.1243805534155775</v>
      </c>
      <c r="AC20" s="8">
        <f>$N20*AC$2*$AG$2/100</f>
        <v>1.2053360418501808</v>
      </c>
      <c r="AD20" s="8">
        <f t="shared" si="6"/>
        <v>3.9929957440000035</v>
      </c>
      <c r="AE20" s="8"/>
      <c r="AF20" s="8"/>
      <c r="AG20" s="7"/>
    </row>
    <row r="21" spans="1:37" x14ac:dyDescent="0.25">
      <c r="A21" s="7">
        <v>11.805555555555555</v>
      </c>
      <c r="B21" s="7">
        <v>1.9715450693133767</v>
      </c>
      <c r="C21" s="7">
        <v>2.6851920233601922</v>
      </c>
      <c r="D21" s="7">
        <v>3.051607167918656</v>
      </c>
      <c r="E21" s="7">
        <v>3.5985768491056778</v>
      </c>
      <c r="F21" s="7">
        <v>6.8000000000000016</v>
      </c>
      <c r="G21" s="7"/>
      <c r="H21" s="7"/>
      <c r="I21" s="7"/>
      <c r="J21" s="8">
        <f t="shared" si="1"/>
        <v>2.833333333333333</v>
      </c>
      <c r="K21" s="7">
        <f t="shared" si="8"/>
        <v>0.13009983967395677</v>
      </c>
      <c r="L21" s="7">
        <f t="shared" si="7"/>
        <v>0.17580076119250476</v>
      </c>
      <c r="M21" s="7">
        <f t="shared" si="7"/>
        <v>0.19971001113397469</v>
      </c>
      <c r="N21" s="7">
        <f t="shared" si="7"/>
        <v>0.23328469735001311</v>
      </c>
      <c r="O21" s="7">
        <f t="shared" si="7"/>
        <v>0.40000000000000036</v>
      </c>
      <c r="P21" s="7"/>
      <c r="Q21" s="8">
        <f t="shared" si="3"/>
        <v>2.833333333333333</v>
      </c>
      <c r="R21" s="8">
        <f t="shared" si="4"/>
        <v>2.7451409292723959E-2</v>
      </c>
      <c r="S21" s="8">
        <f t="shared" si="5"/>
        <v>7.4337815785728165E-2</v>
      </c>
      <c r="T21" s="8">
        <f>$M21*T$2*$AG$2/100</f>
        <v>0.16106644510744911</v>
      </c>
      <c r="U21" s="8">
        <f>$M21*U$2*$AG$2/100</f>
        <v>0.20996218687703957</v>
      </c>
      <c r="V21" s="8">
        <f>$M21*V$2*$AG$2/100</f>
        <v>0.25658905064687987</v>
      </c>
      <c r="W21" s="8">
        <f>$M21*W$2*$AG$2/100</f>
        <v>0.31357046662132471</v>
      </c>
      <c r="X21" s="8">
        <f>$M21*X$2*$AG$2/100</f>
        <v>0.38320589787142906</v>
      </c>
      <c r="Y21" s="8">
        <f>$M21*Y$2*$AG$2/100</f>
        <v>0.49953761807799218</v>
      </c>
      <c r="Z21" s="8">
        <f>$M21*Z$2*$AG$2/100</f>
        <v>0.61048751430331483</v>
      </c>
      <c r="AA21" s="8">
        <f>$N21*AA$2*$AG$2/100</f>
        <v>0.87148563765461262</v>
      </c>
      <c r="AB21" s="8">
        <f>$N21*AB$2*$AG$2/100</f>
        <v>1.1395925723120632</v>
      </c>
      <c r="AC21" s="8">
        <f>$N21*AC$2*$AG$2/100</f>
        <v>1.2216433273057514</v>
      </c>
      <c r="AD21" s="8">
        <f t="shared" si="6"/>
        <v>3.9929957440000035</v>
      </c>
      <c r="AE21" s="8"/>
      <c r="AF21" s="8"/>
      <c r="AG21" s="7"/>
    </row>
    <row r="22" spans="1:37" x14ac:dyDescent="0.25">
      <c r="A22" s="7">
        <v>12.5</v>
      </c>
      <c r="B22" s="7">
        <v>2.1037785404330336</v>
      </c>
      <c r="C22" s="7">
        <v>2.8636711338059504</v>
      </c>
      <c r="D22" s="7">
        <v>3.2543546029510408</v>
      </c>
      <c r="E22" s="7">
        <v>3.8350771688508472</v>
      </c>
      <c r="F22" s="7">
        <v>7.200000000000002</v>
      </c>
      <c r="G22" s="7"/>
      <c r="H22" s="7"/>
      <c r="I22" s="7"/>
      <c r="J22" s="8">
        <f t="shared" si="1"/>
        <v>3</v>
      </c>
      <c r="K22" s="7">
        <f t="shared" si="8"/>
        <v>0.13223347111965689</v>
      </c>
      <c r="L22" s="7">
        <f t="shared" si="8"/>
        <v>0.17847911044575815</v>
      </c>
      <c r="M22" s="7">
        <f t="shared" si="8"/>
        <v>0.20274743503238479</v>
      </c>
      <c r="N22" s="7">
        <f t="shared" si="8"/>
        <v>0.23650031974516939</v>
      </c>
      <c r="O22" s="7">
        <f t="shared" si="8"/>
        <v>0.40000000000000036</v>
      </c>
      <c r="P22" s="7"/>
      <c r="Q22" s="8">
        <f t="shared" si="3"/>
        <v>3</v>
      </c>
      <c r="R22" s="8">
        <f t="shared" si="4"/>
        <v>2.7901611154943974E-2</v>
      </c>
      <c r="S22" s="8">
        <f t="shared" si="5"/>
        <v>7.5470362835283716E-2</v>
      </c>
      <c r="T22" s="8">
        <f>$M22*T$2*$AG$2/100</f>
        <v>0.16351613236560628</v>
      </c>
      <c r="U22" s="8">
        <f>$M22*U$2*$AG$2/100</f>
        <v>0.21315553787913302</v>
      </c>
      <c r="V22" s="8">
        <f>$M22*V$2*$AG$2/100</f>
        <v>0.26049155763728982</v>
      </c>
      <c r="W22" s="8">
        <f>$M22*W$2*$AG$2/100</f>
        <v>0.31833961376494119</v>
      </c>
      <c r="X22" s="8">
        <f>$M22*X$2*$AG$2/100</f>
        <v>0.38903414226237021</v>
      </c>
      <c r="Y22" s="8">
        <f>$M22*Y$2*$AG$2/100</f>
        <v>0.50713517160417498</v>
      </c>
      <c r="Z22" s="8">
        <f>$M22*Z$2*$AG$2/100</f>
        <v>0.61977252387843285</v>
      </c>
      <c r="AA22" s="8">
        <f>$N22*AA$2*$AG$2/100</f>
        <v>0.88349829328669049</v>
      </c>
      <c r="AB22" s="8">
        <f>$N22*AB$2*$AG$2/100</f>
        <v>1.1553008439582841</v>
      </c>
      <c r="AC22" s="8">
        <f>$N22*AC$2*$AG$2/100</f>
        <v>1.2384825957481373</v>
      </c>
      <c r="AD22" s="8">
        <f t="shared" si="6"/>
        <v>3.9929957440000035</v>
      </c>
      <c r="AE22" s="8"/>
      <c r="AF22" s="8"/>
      <c r="AG22" s="7"/>
    </row>
    <row r="23" spans="1:37" x14ac:dyDescent="0.25">
      <c r="A23" s="7">
        <v>13.194444444444445</v>
      </c>
      <c r="B23" s="7">
        <v>2.2382229434193106</v>
      </c>
      <c r="C23" s="7">
        <v>3.0449220889257176</v>
      </c>
      <c r="D23" s="7">
        <v>3.4602467785560185</v>
      </c>
      <c r="E23" s="7">
        <v>4.0749000213385136</v>
      </c>
      <c r="F23" s="7">
        <v>7.6000000000000023</v>
      </c>
      <c r="G23" s="7"/>
      <c r="H23" s="7"/>
      <c r="I23" s="7"/>
      <c r="J23" s="8">
        <f t="shared" si="1"/>
        <v>3.166666666666667</v>
      </c>
      <c r="K23" s="7">
        <f t="shared" si="8"/>
        <v>0.13444440298627702</v>
      </c>
      <c r="L23" s="7">
        <f t="shared" si="8"/>
        <v>0.18125095511976719</v>
      </c>
      <c r="M23" s="7">
        <f t="shared" si="8"/>
        <v>0.20589217560497763</v>
      </c>
      <c r="N23" s="7">
        <f t="shared" si="8"/>
        <v>0.23982285248766644</v>
      </c>
      <c r="O23" s="7">
        <f t="shared" si="8"/>
        <v>0.40000000000000036</v>
      </c>
      <c r="P23" s="7"/>
      <c r="Q23" s="8">
        <f t="shared" si="3"/>
        <v>3.166666666666667</v>
      </c>
      <c r="R23" s="8">
        <f t="shared" si="4"/>
        <v>2.8368123609847983E-2</v>
      </c>
      <c r="S23" s="8">
        <f t="shared" si="5"/>
        <v>7.6642444670228127E-2</v>
      </c>
      <c r="T23" s="8">
        <f>$M23*T$2*$AG$2/100</f>
        <v>0.16605237069405393</v>
      </c>
      <c r="U23" s="8">
        <f>$M23*U$2*$AG$2/100</f>
        <v>0.21646171469036762</v>
      </c>
      <c r="V23" s="8">
        <f>$M23*V$2*$AG$2/100</f>
        <v>0.26453194596569979</v>
      </c>
      <c r="W23" s="8">
        <f>$M23*W$2*$AG$2/100</f>
        <v>0.32327726192364786</v>
      </c>
      <c r="X23" s="8">
        <f>$M23*X$2*$AG$2/100</f>
        <v>0.39506830713898589</v>
      </c>
      <c r="Y23" s="8">
        <f>$M23*Y$2*$AG$2/100</f>
        <v>0.51500115792196877</v>
      </c>
      <c r="Z23" s="8">
        <f>$M23*Z$2*$AG$2/100</f>
        <v>0.62938558656061894</v>
      </c>
      <c r="AA23" s="8">
        <f>$N23*AA$2*$AG$2/100</f>
        <v>0.89591033573360235</v>
      </c>
      <c r="AB23" s="8">
        <f>$N23*AB$2*$AG$2/100</f>
        <v>1.171531371196564</v>
      </c>
      <c r="AC23" s="8">
        <f>$N23*AC$2*$AG$2/100</f>
        <v>1.2558817222263583</v>
      </c>
      <c r="AD23" s="8">
        <f t="shared" si="6"/>
        <v>3.9929957440000035</v>
      </c>
      <c r="AE23" s="8"/>
      <c r="AF23" s="8"/>
      <c r="AG23" s="7"/>
    </row>
    <row r="24" spans="1:37" x14ac:dyDescent="0.25">
      <c r="A24" s="7">
        <v>13.888888888888889</v>
      </c>
      <c r="B24" s="7">
        <v>2.3749599764020641</v>
      </c>
      <c r="C24" s="7">
        <v>3.2290435593503002</v>
      </c>
      <c r="D24" s="7">
        <v>3.6693970385230319</v>
      </c>
      <c r="E24" s="7">
        <v>4.31815802862205</v>
      </c>
      <c r="F24" s="7">
        <v>8.0000000000000018</v>
      </c>
      <c r="G24" s="7"/>
      <c r="H24" s="7"/>
      <c r="I24" s="7"/>
      <c r="J24" s="8">
        <f t="shared" si="1"/>
        <v>3.3333333333333339</v>
      </c>
      <c r="K24" s="7">
        <f t="shared" si="8"/>
        <v>0.13673703298275353</v>
      </c>
      <c r="L24" s="7">
        <f t="shared" si="8"/>
        <v>0.1841214704245826</v>
      </c>
      <c r="M24" s="7">
        <f t="shared" si="8"/>
        <v>0.20915025996701342</v>
      </c>
      <c r="N24" s="7">
        <f t="shared" si="8"/>
        <v>0.24325800728353641</v>
      </c>
      <c r="O24" s="7">
        <f t="shared" si="8"/>
        <v>0.39999999999999947</v>
      </c>
      <c r="P24" s="7"/>
      <c r="Q24" s="8">
        <f t="shared" si="3"/>
        <v>3.3333333333333339</v>
      </c>
      <c r="R24" s="8">
        <f t="shared" si="4"/>
        <v>2.8851874585619948E-2</v>
      </c>
      <c r="S24" s="8">
        <f t="shared" si="5"/>
        <v>7.7856249641788056E-2</v>
      </c>
      <c r="T24" s="8">
        <f>$M24*T$2*$AG$2/100</f>
        <v>0.16868002097094084</v>
      </c>
      <c r="U24" s="8">
        <f>$M24*U$2*$AG$2/100</f>
        <v>0.21988705382984627</v>
      </c>
      <c r="V24" s="8">
        <f>$M24*V$2*$AG$2/100</f>
        <v>0.26871795931893816</v>
      </c>
      <c r="W24" s="8">
        <f>$M24*W$2*$AG$2/100</f>
        <v>0.32839287444549503</v>
      </c>
      <c r="X24" s="8">
        <f>$M24*X$2*$AG$2/100</f>
        <v>0.40131995740031018</v>
      </c>
      <c r="Y24" s="8">
        <f>$M24*Y$2*$AG$2/100</f>
        <v>0.52315065274432226</v>
      </c>
      <c r="Z24" s="8">
        <f>$M24*Z$2*$AG$2/100</f>
        <v>0.6393451264568708</v>
      </c>
      <c r="AA24" s="8">
        <f>$N24*AA$2*$AG$2/100</f>
        <v>0.90874310231335542</v>
      </c>
      <c r="AB24" s="8">
        <f>$N24*AB$2*$AG$2/100</f>
        <v>1.1883120556331523</v>
      </c>
      <c r="AC24" s="8">
        <f>$N24*AC$2*$AG$2/100</f>
        <v>1.2738706172645122</v>
      </c>
      <c r="AD24" s="8">
        <f t="shared" si="6"/>
        <v>3.9929957439999946</v>
      </c>
      <c r="AE24" s="8"/>
      <c r="AF24" s="8"/>
      <c r="AG24" s="7"/>
    </row>
    <row r="25" spans="1:37" x14ac:dyDescent="0.25">
      <c r="A25" s="7">
        <v>14.583333333333334</v>
      </c>
      <c r="B25" s="7">
        <v>2.5140760684896284</v>
      </c>
      <c r="C25" s="7">
        <v>3.416139784981262</v>
      </c>
      <c r="D25" s="7">
        <v>3.8819252223740559</v>
      </c>
      <c r="E25" s="7">
        <v>4.564969948661977</v>
      </c>
      <c r="F25" s="7">
        <v>8.4000000000000021</v>
      </c>
      <c r="G25" s="7"/>
      <c r="H25" s="7"/>
      <c r="I25" s="7"/>
      <c r="J25" s="8">
        <f t="shared" si="1"/>
        <v>3.5</v>
      </c>
      <c r="K25" s="7">
        <f t="shared" si="8"/>
        <v>0.13911609208756426</v>
      </c>
      <c r="L25" s="7">
        <f t="shared" si="8"/>
        <v>0.18709622563096184</v>
      </c>
      <c r="M25" s="7">
        <f t="shared" si="8"/>
        <v>0.21252818385102401</v>
      </c>
      <c r="N25" s="7">
        <f t="shared" si="8"/>
        <v>0.24681192003992702</v>
      </c>
      <c r="O25" s="7">
        <f t="shared" si="8"/>
        <v>0.40000000000000036</v>
      </c>
      <c r="P25" s="7"/>
      <c r="Q25" s="8">
        <f t="shared" si="3"/>
        <v>3.5</v>
      </c>
      <c r="R25" s="8">
        <f t="shared" si="4"/>
        <v>2.9353862331196044E-2</v>
      </c>
      <c r="S25" s="8">
        <f t="shared" si="5"/>
        <v>7.9114132730799869E-2</v>
      </c>
      <c r="T25" s="8">
        <f>$M25*T$2*$AG$2/100</f>
        <v>0.17140432201499889</v>
      </c>
      <c r="U25" s="8">
        <f>$M25*U$2*$AG$2/100</f>
        <v>0.22343838449055739</v>
      </c>
      <c r="V25" s="8">
        <f>$M25*V$2*$AG$2/100</f>
        <v>0.27305794346712514</v>
      </c>
      <c r="W25" s="8">
        <f>$M25*W$2*$AG$2/100</f>
        <v>0.33369665046806979</v>
      </c>
      <c r="X25" s="8">
        <f>$M25*X$2*$AG$2/100</f>
        <v>0.40780155713366179</v>
      </c>
      <c r="Y25" s="8">
        <f>$M25*Y$2*$AG$2/100</f>
        <v>0.53159990394352941</v>
      </c>
      <c r="Z25" s="8">
        <f>$M25*Z$2*$AG$2/100</f>
        <v>0.64967100017620083</v>
      </c>
      <c r="AA25" s="8">
        <f>$N25*AA$2*$AG$2/100</f>
        <v>0.922019515039326</v>
      </c>
      <c r="AB25" s="8">
        <f>$N25*AB$2*$AG$2/100</f>
        <v>1.2056728710909759</v>
      </c>
      <c r="AC25" s="8">
        <f>$N25*AC$2*$AG$2/100</f>
        <v>1.2924814128031386</v>
      </c>
      <c r="AD25" s="8">
        <f t="shared" si="6"/>
        <v>3.9929957440000035</v>
      </c>
      <c r="AE25" s="8"/>
      <c r="AF25" s="8"/>
      <c r="AG25" s="7"/>
    </row>
    <row r="26" spans="1:37" x14ac:dyDescent="0.25">
      <c r="A26" s="7">
        <v>15.277777777777779</v>
      </c>
      <c r="B26" s="7">
        <v>2.6556627709982736</v>
      </c>
      <c r="C26" s="7">
        <v>3.6063210142420745</v>
      </c>
      <c r="D26" s="7">
        <v>4.0979581809145857</v>
      </c>
      <c r="E26" s="7">
        <v>4.8154611410380808</v>
      </c>
      <c r="F26" s="7">
        <v>8.8000000000000025</v>
      </c>
      <c r="G26" s="7"/>
      <c r="H26" s="7"/>
      <c r="I26" s="7"/>
      <c r="J26" s="8">
        <f t="shared" si="1"/>
        <v>3.666666666666667</v>
      </c>
      <c r="K26" s="7">
        <f t="shared" si="8"/>
        <v>0.14158670250864525</v>
      </c>
      <c r="L26" s="7">
        <f t="shared" si="8"/>
        <v>0.19018122926081249</v>
      </c>
      <c r="M26" s="7">
        <f t="shared" si="8"/>
        <v>0.21603295854052984</v>
      </c>
      <c r="N26" s="7">
        <f t="shared" si="8"/>
        <v>0.25049119237610373</v>
      </c>
      <c r="O26" s="7">
        <f t="shared" si="8"/>
        <v>0.40000000000000036</v>
      </c>
      <c r="P26" s="7"/>
      <c r="Q26" s="8">
        <f t="shared" si="3"/>
        <v>3.666666666666667</v>
      </c>
      <c r="R26" s="8">
        <f t="shared" si="4"/>
        <v>2.9875167645959926E-2</v>
      </c>
      <c r="S26" s="8">
        <f t="shared" si="5"/>
        <v>8.041863465660791E-2</v>
      </c>
      <c r="T26" s="8">
        <f>$M26*T$2*$AG$2/100</f>
        <v>0.17423092843766125</v>
      </c>
      <c r="U26" s="8">
        <f>$M26*U$2*$AG$2/100</f>
        <v>0.22712307788244893</v>
      </c>
      <c r="V26" s="8">
        <f>$M26*V$2*$AG$2/100</f>
        <v>0.27756090656449456</v>
      </c>
      <c r="W26" s="8">
        <f>$M26*W$2*$AG$2/100</f>
        <v>0.33919959861048271</v>
      </c>
      <c r="X26" s="8">
        <f>$M26*X$2*$AG$2/100</f>
        <v>0.41452655967160745</v>
      </c>
      <c r="Y26" s="8">
        <f>$M26*Y$2*$AG$2/100</f>
        <v>0.54036644894723129</v>
      </c>
      <c r="Z26" s="8">
        <f>$M26*Z$2*$AG$2/100</f>
        <v>0.66038464029990118</v>
      </c>
      <c r="AA26" s="8">
        <f>$N26*AA$2*$AG$2/100</f>
        <v>0.93576423569362221</v>
      </c>
      <c r="AB26" s="8">
        <f>$N26*AB$2*$AG$2/100</f>
        <v>1.2236460663903204</v>
      </c>
      <c r="AC26" s="8">
        <f>$N26*AC$2*$AG$2/100</f>
        <v>1.3117486795801232</v>
      </c>
      <c r="AD26" s="8">
        <f t="shared" si="6"/>
        <v>3.9929957440000035</v>
      </c>
      <c r="AE26" s="8"/>
      <c r="AF26" s="8"/>
      <c r="AG26" s="7"/>
    </row>
    <row r="27" spans="1:37" x14ac:dyDescent="0.25">
      <c r="A27" s="7">
        <v>15.972222222222221</v>
      </c>
      <c r="B27" s="7">
        <v>2.7998171595491557</v>
      </c>
      <c r="C27" s="7">
        <v>3.7997039812892415</v>
      </c>
      <c r="D27" s="7">
        <v>4.3176303445111532</v>
      </c>
      <c r="E27" s="7">
        <v>5.0697640781177649</v>
      </c>
      <c r="F27" s="7">
        <v>9.2000000000000028</v>
      </c>
      <c r="G27" s="7"/>
      <c r="H27" s="7"/>
      <c r="I27" s="7"/>
      <c r="J27" s="8">
        <f t="shared" si="1"/>
        <v>3.833333333333333</v>
      </c>
      <c r="K27" s="7">
        <f t="shared" si="8"/>
        <v>0.14415438855088203</v>
      </c>
      <c r="L27" s="7">
        <f t="shared" si="8"/>
        <v>0.19338296704716695</v>
      </c>
      <c r="M27" s="7">
        <f t="shared" si="8"/>
        <v>0.21967216359656749</v>
      </c>
      <c r="N27" s="7">
        <f t="shared" si="8"/>
        <v>0.2543029370796841</v>
      </c>
      <c r="O27" s="7">
        <f t="shared" si="8"/>
        <v>0.40000000000000036</v>
      </c>
      <c r="P27" s="7"/>
      <c r="Q27" s="8">
        <f t="shared" si="3"/>
        <v>3.833333333333333</v>
      </c>
      <c r="R27" s="8">
        <f t="shared" si="4"/>
        <v>3.04169561728121E-2</v>
      </c>
      <c r="S27" s="8">
        <f t="shared" si="5"/>
        <v>8.1772497928539925E-2</v>
      </c>
      <c r="T27" s="8">
        <f>$M27*T$2*$AG$2/100</f>
        <v>0.17716595316709166</v>
      </c>
      <c r="U27" s="8">
        <f>$M27*U$2*$AG$2/100</f>
        <v>0.23094910266568852</v>
      </c>
      <c r="V27" s="8">
        <f>$M27*V$2*$AG$2/100</f>
        <v>0.28223658689286624</v>
      </c>
      <c r="W27" s="8">
        <f>$M27*W$2*$AG$2/100</f>
        <v>0.34491361976081386</v>
      </c>
      <c r="X27" s="8">
        <f>$M27*X$2*$AG$2/100</f>
        <v>0.42150950876423765</v>
      </c>
      <c r="Y27" s="8">
        <f>$M27*Y$2*$AG$2/100</f>
        <v>0.54946924662406327</v>
      </c>
      <c r="Z27" s="8">
        <f>$M27*Z$2*$AG$2/100</f>
        <v>0.67150921655967655</v>
      </c>
      <c r="AA27" s="8">
        <f>$N27*AA$2*$AG$2/100</f>
        <v>0.95000383563871538</v>
      </c>
      <c r="AB27" s="8">
        <f>$N27*AB$2*$AG$2/100</f>
        <v>1.2422663874019155</v>
      </c>
      <c r="AC27" s="8">
        <f>$N27*AC$2*$AG$2/100</f>
        <v>1.3317096651716276</v>
      </c>
      <c r="AD27" s="8">
        <f t="shared" si="6"/>
        <v>3.9929957440000035</v>
      </c>
      <c r="AE27" s="8"/>
      <c r="AF27" s="8"/>
      <c r="AG27" s="7"/>
    </row>
    <row r="28" spans="1:37" x14ac:dyDescent="0.25">
      <c r="A28" s="7">
        <v>16.666666666666664</v>
      </c>
      <c r="B28" s="7">
        <v>2.9466423049926616</v>
      </c>
      <c r="C28" s="7">
        <v>3.9964124320291097</v>
      </c>
      <c r="D28" s="7">
        <v>4.5410843507431773</v>
      </c>
      <c r="E28" s="7">
        <v>5.3280189073412458</v>
      </c>
      <c r="F28" s="7">
        <v>9.6000000000000032</v>
      </c>
      <c r="G28" s="7"/>
      <c r="H28" s="7"/>
      <c r="I28" s="7"/>
      <c r="J28" s="8">
        <f t="shared" si="1"/>
        <v>3.9999999999999996</v>
      </c>
      <c r="K28" s="7">
        <f t="shared" si="8"/>
        <v>0.14682514544350589</v>
      </c>
      <c r="L28" s="7">
        <f t="shared" si="8"/>
        <v>0.1967084507398682</v>
      </c>
      <c r="M28" s="7">
        <f t="shared" si="8"/>
        <v>0.22345400623202405</v>
      </c>
      <c r="N28" s="7">
        <f t="shared" si="8"/>
        <v>0.25825482922348098</v>
      </c>
      <c r="O28" s="7">
        <f t="shared" si="8"/>
        <v>0.40000000000000036</v>
      </c>
      <c r="P28" s="7"/>
      <c r="Q28" s="8">
        <f t="shared" si="3"/>
        <v>3.9999999999999996</v>
      </c>
      <c r="R28" s="8">
        <f t="shared" si="4"/>
        <v>3.0980492920931989E-2</v>
      </c>
      <c r="S28" s="8">
        <f t="shared" si="5"/>
        <v>8.3178687483520128E-2</v>
      </c>
      <c r="T28" s="8">
        <f>$M28*T$2*$AG$2/100</f>
        <v>0.18021601533368053</v>
      </c>
      <c r="U28" s="8">
        <f>$M28*U$2*$AG$2/100</f>
        <v>0.234925087372998</v>
      </c>
      <c r="V28" s="8">
        <f>$M28*V$2*$AG$2/100</f>
        <v>0.28709552914627545</v>
      </c>
      <c r="W28" s="8">
        <f>$M28*W$2*$AG$2/100</f>
        <v>0.35085160030147383</v>
      </c>
      <c r="X28" s="8">
        <f>$M28*X$2*$AG$2/100</f>
        <v>0.42876615250733158</v>
      </c>
      <c r="Y28" s="8">
        <f>$M28*Y$2*$AG$2/100</f>
        <v>0.55892882579756009</v>
      </c>
      <c r="Z28" s="8">
        <f>$M28*Z$2*$AG$2/100</f>
        <v>0.68306981733725758</v>
      </c>
      <c r="AA28" s="8">
        <f>$N28*AA$2*$AG$2/100</f>
        <v>0.96476698677550754</v>
      </c>
      <c r="AB28" s="8">
        <f>$N28*AB$2*$AG$2/100</f>
        <v>1.2615713267520192</v>
      </c>
      <c r="AC28" s="8">
        <f>$N28*AC$2*$AG$2/100</f>
        <v>1.352404561675953</v>
      </c>
      <c r="AD28" s="8">
        <f t="shared" si="6"/>
        <v>3.9929957440000035</v>
      </c>
      <c r="AE28" s="8"/>
      <c r="AF28" s="8"/>
      <c r="AG28" s="7"/>
    </row>
    <row r="29" spans="1:37" x14ac:dyDescent="0.25">
      <c r="A29" s="7">
        <v>17.361111111111111</v>
      </c>
      <c r="B29" s="7">
        <v>3.0962477841802101</v>
      </c>
      <c r="C29" s="7">
        <v>4.1965777134013038</v>
      </c>
      <c r="D29" s="7">
        <v>4.7684717390808613</v>
      </c>
      <c r="E29" s="7">
        <v>5.5903740707987701</v>
      </c>
      <c r="F29" s="7">
        <v>10.000000000000004</v>
      </c>
      <c r="G29" s="7"/>
      <c r="H29" s="7"/>
      <c r="I29" s="7"/>
      <c r="J29" s="8">
        <f t="shared" si="1"/>
        <v>4.1666666666666661</v>
      </c>
      <c r="K29" s="7">
        <f t="shared" si="8"/>
        <v>0.14960547918754852</v>
      </c>
      <c r="L29" s="7">
        <f t="shared" si="8"/>
        <v>0.20016528137219414</v>
      </c>
      <c r="M29" s="7">
        <f t="shared" si="8"/>
        <v>0.22738738833768402</v>
      </c>
      <c r="N29" s="7">
        <f t="shared" si="8"/>
        <v>0.2623551634575243</v>
      </c>
      <c r="O29" s="7">
        <f t="shared" si="8"/>
        <v>0.40000000000000036</v>
      </c>
      <c r="P29" s="7"/>
      <c r="Q29" s="8">
        <f t="shared" si="3"/>
        <v>4.1666666666666661</v>
      </c>
      <c r="R29" s="8">
        <f t="shared" si="4"/>
        <v>3.1567150673696039E-2</v>
      </c>
      <c r="S29" s="8">
        <f t="shared" si="5"/>
        <v>8.4640417438528209E-2</v>
      </c>
      <c r="T29" s="8">
        <f>$M29*T$2*$AG$2/100</f>
        <v>0.18338829432665948</v>
      </c>
      <c r="U29" s="8">
        <f>$M29*U$2*$AG$2/100</f>
        <v>0.23906039087650313</v>
      </c>
      <c r="V29" s="8">
        <f>$M29*V$2*$AG$2/100</f>
        <v>0.2921491705465839</v>
      </c>
      <c r="W29" s="8">
        <f>$M29*W$2*$AG$2/100</f>
        <v>0.35702751734873872</v>
      </c>
      <c r="X29" s="8">
        <f>$M29*X$2*$AG$2/100</f>
        <v>0.43631357195271769</v>
      </c>
      <c r="Y29" s="8">
        <f>$M29*Y$2*$AG$2/100</f>
        <v>0.56876745289940245</v>
      </c>
      <c r="Z29" s="8">
        <f>$M29*Z$2*$AG$2/100</f>
        <v>0.69509365455430439</v>
      </c>
      <c r="AA29" s="8">
        <f>$N29*AA$2*$AG$2/100</f>
        <v>0.98008467557011769</v>
      </c>
      <c r="AB29" s="8">
        <f>$N29*AB$2*$AG$2/100</f>
        <v>1.2816014036931649</v>
      </c>
      <c r="AC29" s="8">
        <f>$N29*AC$2*$AG$2/100</f>
        <v>1.3738768057350088</v>
      </c>
      <c r="AD29" s="8">
        <f t="shared" si="6"/>
        <v>3.9929957440000035</v>
      </c>
      <c r="AE29" s="8"/>
      <c r="AF29" s="8"/>
      <c r="AG29" s="7"/>
    </row>
    <row r="30" spans="1:37" x14ac:dyDescent="0.25">
      <c r="A30" s="7">
        <v>18.055555555555554</v>
      </c>
      <c r="B30" s="7">
        <v>3.2487502378284794</v>
      </c>
      <c r="C30" s="7">
        <v>4.4003394186983176</v>
      </c>
      <c r="D30" s="7">
        <v>4.9999537214186951</v>
      </c>
      <c r="E30" s="7">
        <v>5.8569869903334402</v>
      </c>
      <c r="F30" s="7">
        <v>10.400000000000004</v>
      </c>
      <c r="G30" s="7"/>
      <c r="H30" s="7"/>
      <c r="I30" s="7"/>
      <c r="J30" s="8">
        <f t="shared" si="1"/>
        <v>4.3333333333333321</v>
      </c>
      <c r="K30" s="7">
        <f t="shared" si="8"/>
        <v>0.15250245364826931</v>
      </c>
      <c r="L30" s="7">
        <f t="shared" si="8"/>
        <v>0.20376170529701376</v>
      </c>
      <c r="M30" s="7">
        <f t="shared" si="8"/>
        <v>0.23148198233783379</v>
      </c>
      <c r="N30" s="7">
        <f t="shared" si="8"/>
        <v>0.26661291953467003</v>
      </c>
      <c r="O30" s="7">
        <f t="shared" si="8"/>
        <v>0.40000000000000036</v>
      </c>
      <c r="P30" s="7"/>
      <c r="Q30" s="8">
        <f t="shared" si="3"/>
        <v>4.3333333333333321</v>
      </c>
      <c r="R30" s="8">
        <f t="shared" si="4"/>
        <v>3.2178419925303993E-2</v>
      </c>
      <c r="S30" s="8">
        <f t="shared" si="5"/>
        <v>8.6161174785635897E-2</v>
      </c>
      <c r="T30" s="8">
        <f>$M30*T$2*$AG$2/100</f>
        <v>0.18669059097176852</v>
      </c>
      <c r="U30" s="8">
        <f>$M30*U$2*$AG$2/100</f>
        <v>0.24336518213740954</v>
      </c>
      <c r="V30" s="8">
        <f>$M30*V$2*$AG$2/100</f>
        <v>0.2974099383033792</v>
      </c>
      <c r="W30" s="8">
        <f>$M30*W$2*$AG$2/100</f>
        <v>0.36345655785582925</v>
      </c>
      <c r="X30" s="8">
        <f>$M30*X$2*$AG$2/100</f>
        <v>0.44417032666089185</v>
      </c>
      <c r="Y30" s="8">
        <f>$M30*Y$2*$AG$2/100</f>
        <v>0.57900932170816799</v>
      </c>
      <c r="Z30" s="8">
        <f>$M30*Z$2*$AG$2/100</f>
        <v>0.70761029555311639</v>
      </c>
      <c r="AA30" s="8">
        <f>$N30*AA$2*$AG$2/100</f>
        <v>0.99599044783902013</v>
      </c>
      <c r="AB30" s="8">
        <f>$N30*AB$2*$AG$2/100</f>
        <v>1.3024004841958687</v>
      </c>
      <c r="AC30" s="8">
        <f>$N30*AC$2*$AG$2/100</f>
        <v>1.3961734216726434</v>
      </c>
      <c r="AD30" s="8">
        <f t="shared" si="6"/>
        <v>3.9929957440000035</v>
      </c>
      <c r="AE30" s="8"/>
      <c r="AF30" s="8"/>
      <c r="AG30" s="7"/>
    </row>
    <row r="31" spans="1:37" x14ac:dyDescent="0.25">
      <c r="A31" s="7">
        <v>18.75</v>
      </c>
      <c r="B31" s="7">
        <v>3.4042740044560342</v>
      </c>
      <c r="C31" s="7">
        <v>4.6078461033822053</v>
      </c>
      <c r="D31" s="7">
        <v>5.2357020386908388</v>
      </c>
      <c r="E31" s="7">
        <v>6.128024824687901</v>
      </c>
      <c r="F31" s="7">
        <v>10.800000000000004</v>
      </c>
      <c r="G31" s="7"/>
      <c r="H31" s="7"/>
      <c r="I31" s="7"/>
      <c r="J31" s="8">
        <f t="shared" si="1"/>
        <v>4.5</v>
      </c>
      <c r="K31" s="7">
        <f t="shared" si="8"/>
        <v>0.15552376662755485</v>
      </c>
      <c r="L31" s="7">
        <f t="shared" si="8"/>
        <v>0.20750668468388778</v>
      </c>
      <c r="M31" s="7">
        <f t="shared" si="8"/>
        <v>0.23574831727214374</v>
      </c>
      <c r="N31" s="7">
        <f t="shared" si="8"/>
        <v>0.27103783435446083</v>
      </c>
      <c r="O31" s="7">
        <f t="shared" si="8"/>
        <v>0.40000000000000036</v>
      </c>
      <c r="P31" s="7"/>
      <c r="Q31" s="8">
        <f t="shared" si="3"/>
        <v>4.5</v>
      </c>
      <c r="R31" s="8">
        <f t="shared" si="4"/>
        <v>3.2815924932255894E-2</v>
      </c>
      <c r="S31" s="8">
        <f t="shared" si="5"/>
        <v>8.7744749201891958E-2</v>
      </c>
      <c r="T31" s="8">
        <f>$M31*T$2*$AG$2/100</f>
        <v>0.19013139695643219</v>
      </c>
      <c r="U31" s="8">
        <f>$M31*U$2*$AG$2/100</f>
        <v>0.2478505307069247</v>
      </c>
      <c r="V31" s="8">
        <f>$M31*V$2*$AG$2/100</f>
        <v>0.30289136021267865</v>
      </c>
      <c r="W31" s="8">
        <f>$M31*W$2*$AG$2/100</f>
        <v>0.37015525377256514</v>
      </c>
      <c r="X31" s="8">
        <f>$M31*X$2*$AG$2/100</f>
        <v>0.45235661987593617</v>
      </c>
      <c r="Y31" s="8">
        <f>$M31*Y$2*$AG$2/100</f>
        <v>0.58968076866722108</v>
      </c>
      <c r="Z31" s="8">
        <f>$M31*Z$2*$AG$2/100</f>
        <v>0.72065192623774454</v>
      </c>
      <c r="AA31" s="8">
        <f>$N31*AA$2*$AG$2/100</f>
        <v>1.0125206778845293</v>
      </c>
      <c r="AB31" s="8">
        <f>$N31*AB$2*$AG$2/100</f>
        <v>1.3240161328819093</v>
      </c>
      <c r="AC31" s="8">
        <f>$N31*AC$2*$AG$2/100</f>
        <v>1.4193453987671516</v>
      </c>
      <c r="AD31" s="8">
        <f t="shared" si="6"/>
        <v>3.9929957440000035</v>
      </c>
      <c r="AE31" s="8"/>
      <c r="AF31" s="8"/>
      <c r="AG31" s="7"/>
    </row>
    <row r="32" spans="1:37" x14ac:dyDescent="0.25">
      <c r="A32" s="7">
        <v>19.444444444444446</v>
      </c>
      <c r="B32" s="7">
        <v>3.5629518267698534</v>
      </c>
      <c r="C32" s="7">
        <v>4.819256085859311</v>
      </c>
      <c r="D32" s="7">
        <v>5.4758999154431054</v>
      </c>
      <c r="E32" s="7">
        <v>6.4036653105306662</v>
      </c>
      <c r="F32" s="7">
        <v>11.200000000000005</v>
      </c>
      <c r="G32" s="7"/>
      <c r="H32" s="7"/>
      <c r="I32" s="7"/>
      <c r="J32" s="8">
        <f t="shared" si="1"/>
        <v>4.6666666666666679</v>
      </c>
      <c r="K32" s="7">
        <f t="shared" si="8"/>
        <v>0.15867782231381922</v>
      </c>
      <c r="L32" s="7">
        <f t="shared" si="8"/>
        <v>0.21140998247710563</v>
      </c>
      <c r="M32" s="7">
        <f t="shared" si="8"/>
        <v>0.24019787675226656</v>
      </c>
      <c r="N32" s="7">
        <f t="shared" si="8"/>
        <v>0.27564048584276524</v>
      </c>
      <c r="O32" s="7">
        <f t="shared" si="8"/>
        <v>0.40000000000000036</v>
      </c>
      <c r="P32" s="7"/>
      <c r="Q32" s="8">
        <f t="shared" si="3"/>
        <v>4.6666666666666679</v>
      </c>
      <c r="R32" s="8">
        <f t="shared" si="4"/>
        <v>3.3481439000472062E-2</v>
      </c>
      <c r="S32" s="8">
        <f t="shared" si="5"/>
        <v>8.9395268974052297E-2</v>
      </c>
      <c r="T32" s="8">
        <f>$M32*T$2*$AG$2/100</f>
        <v>0.19371997383191369</v>
      </c>
      <c r="U32" s="8">
        <f>$M32*U$2*$AG$2/100</f>
        <v>0.25252850971148905</v>
      </c>
      <c r="V32" s="8">
        <f>$M32*V$2*$AG$2/100</f>
        <v>0.30860819051236565</v>
      </c>
      <c r="W32" s="8">
        <f>$M32*W$2*$AG$2/100</f>
        <v>0.37714163584985344</v>
      </c>
      <c r="X32" s="8">
        <f>$M32*X$2*$AG$2/100</f>
        <v>0.46089448648578246</v>
      </c>
      <c r="Y32" s="8">
        <f>$M32*Y$2*$AG$2/100</f>
        <v>0.60081051790500861</v>
      </c>
      <c r="Z32" s="8">
        <f>$M32*Z$2*$AG$2/100</f>
        <v>0.73425365051456426</v>
      </c>
      <c r="AA32" s="8">
        <f>$N32*AA$2*$AG$2/100</f>
        <v>1.0297148818454036</v>
      </c>
      <c r="AB32" s="8">
        <f>$N32*AB$2*$AG$2/100</f>
        <v>1.3465000227752233</v>
      </c>
      <c r="AC32" s="8">
        <f>$N32*AC$2*$AG$2/100</f>
        <v>1.4434481305042646</v>
      </c>
      <c r="AD32" s="8">
        <f t="shared" si="6"/>
        <v>3.9929957440000035</v>
      </c>
      <c r="AE32" s="8"/>
      <c r="AF32" s="8"/>
      <c r="AG32" s="7"/>
    </row>
    <row r="33" spans="1:33" x14ac:dyDescent="0.25">
      <c r="A33" s="7">
        <v>20.138888888888889</v>
      </c>
      <c r="B33" s="7">
        <v>3.7249256268792572</v>
      </c>
      <c r="C33" s="7">
        <v>5.0347383404435089</v>
      </c>
      <c r="D33" s="7">
        <v>5.7207431262016382</v>
      </c>
      <c r="E33" s="7">
        <v>6.6840976973110022</v>
      </c>
      <c r="F33" s="7">
        <v>11.600000000000005</v>
      </c>
      <c r="G33" s="7"/>
      <c r="H33" s="7"/>
      <c r="I33" s="7"/>
      <c r="J33" s="8">
        <f t="shared" si="1"/>
        <v>4.8333333333333339</v>
      </c>
      <c r="K33" s="7">
        <f t="shared" si="8"/>
        <v>0.16197380010940376</v>
      </c>
      <c r="L33" s="7">
        <f t="shared" si="8"/>
        <v>0.2154822545841979</v>
      </c>
      <c r="M33" s="7">
        <f t="shared" si="8"/>
        <v>0.24484321075853277</v>
      </c>
      <c r="N33" s="7">
        <f t="shared" si="8"/>
        <v>0.280432386780336</v>
      </c>
      <c r="O33" s="7">
        <f t="shared" si="8"/>
        <v>0.40000000000000036</v>
      </c>
      <c r="P33" s="7"/>
      <c r="Q33" s="8">
        <f t="shared" si="3"/>
        <v>4.8333333333333339</v>
      </c>
      <c r="R33" s="8">
        <f t="shared" si="4"/>
        <v>3.4176899008056018E-2</v>
      </c>
      <c r="S33" s="8">
        <f t="shared" si="5"/>
        <v>9.1117239980735801E-2</v>
      </c>
      <c r="T33" s="8">
        <f>$M33*T$2*$AG$2/100</f>
        <v>0.19746644317752957</v>
      </c>
      <c r="U33" s="8">
        <f>$M33*U$2*$AG$2/100</f>
        <v>0.25741231338858983</v>
      </c>
      <c r="V33" s="8">
        <f>$M33*V$2*$AG$2/100</f>
        <v>0.31457655351949559</v>
      </c>
      <c r="W33" s="8">
        <f>$M33*W$2*$AG$2/100</f>
        <v>0.38443540917491537</v>
      </c>
      <c r="X33" s="8">
        <f>$M33*X$2*$AG$2/100</f>
        <v>0.46980800753901469</v>
      </c>
      <c r="Y33" s="8">
        <f>$M33*Y$2*$AG$2/100</f>
        <v>0.61242996087379498</v>
      </c>
      <c r="Z33" s="8">
        <f>$M33*Z$2*$AG$2/100</f>
        <v>0.74845383204022464</v>
      </c>
      <c r="AA33" s="8">
        <f>$N33*AA$2*$AG$2/100</f>
        <v>1.0476160682137958</v>
      </c>
      <c r="AB33" s="8">
        <f>$N33*AB$2*$AG$2/100</f>
        <v>1.3699083936531367</v>
      </c>
      <c r="AC33" s="8">
        <f>$N33*AC$2*$AG$2/100</f>
        <v>1.4685419059297067</v>
      </c>
      <c r="AD33" s="8">
        <f t="shared" si="6"/>
        <v>3.9929957440000035</v>
      </c>
      <c r="AE33" s="8"/>
      <c r="AF33" s="8"/>
      <c r="AG33" s="7"/>
    </row>
    <row r="34" spans="1:33" x14ac:dyDescent="0.25">
      <c r="A34" s="7">
        <v>20.833333333333336</v>
      </c>
      <c r="B34" s="7">
        <v>3.8903473865621971</v>
      </c>
      <c r="C34" s="7">
        <v>5.2544734915460563</v>
      </c>
      <c r="D34" s="7">
        <v>5.9704411898239602</v>
      </c>
      <c r="E34" s="7">
        <v>6.9695237884642731</v>
      </c>
      <c r="F34" s="7">
        <v>12.000000000000005</v>
      </c>
      <c r="G34" s="7"/>
      <c r="H34" s="7"/>
      <c r="I34" s="7"/>
      <c r="J34" s="8">
        <f t="shared" si="1"/>
        <v>5.0000000000000009</v>
      </c>
      <c r="K34" s="7">
        <f t="shared" si="8"/>
        <v>0.16542175968293993</v>
      </c>
      <c r="L34" s="7">
        <f t="shared" si="8"/>
        <v>0.21973515110254738</v>
      </c>
      <c r="M34" s="7">
        <f t="shared" si="8"/>
        <v>0.24969806362232205</v>
      </c>
      <c r="N34" s="7">
        <f t="shared" si="8"/>
        <v>0.28542609115327089</v>
      </c>
      <c r="O34" s="7">
        <f t="shared" si="8"/>
        <v>0.40000000000000036</v>
      </c>
      <c r="P34" s="7"/>
      <c r="Q34" s="8">
        <f t="shared" si="3"/>
        <v>5.0000000000000009</v>
      </c>
      <c r="R34" s="8">
        <f t="shared" si="4"/>
        <v>3.4904427571620066E-2</v>
      </c>
      <c r="S34" s="8">
        <f t="shared" si="5"/>
        <v>9.2915588496363888E-2</v>
      </c>
      <c r="T34" s="8">
        <f>$M34*T$2*$AG$2/100</f>
        <v>0.20138188981863805</v>
      </c>
      <c r="U34" s="8">
        <f>$M34*U$2*$AG$2/100</f>
        <v>0.26251639163914697</v>
      </c>
      <c r="V34" s="8">
        <f>$M34*V$2*$AG$2/100</f>
        <v>0.3208141080630898</v>
      </c>
      <c r="W34" s="8">
        <f>$M34*W$2*$AG$2/100</f>
        <v>0.39205815412011008</v>
      </c>
      <c r="X34" s="8">
        <f>$M34*X$2*$AG$2/100</f>
        <v>0.47912355581893545</v>
      </c>
      <c r="Y34" s="8">
        <f>$M34*Y$2*$AG$2/100</f>
        <v>0.62457347647386929</v>
      </c>
      <c r="Z34" s="8">
        <f>$M34*Z$2*$AG$2/100</f>
        <v>0.76329448544710266</v>
      </c>
      <c r="AA34" s="8">
        <f>$N34*AA$2*$AG$2/100</f>
        <v>1.0662711351304925</v>
      </c>
      <c r="AB34" s="8">
        <f>$N34*AB$2*$AG$2/100</f>
        <v>1.3943025715669179</v>
      </c>
      <c r="AC34" s="8">
        <f>$N34*AC$2*$AG$2/100</f>
        <v>1.4946924665752703</v>
      </c>
      <c r="AD34" s="8">
        <f t="shared" si="6"/>
        <v>3.9929957440000035</v>
      </c>
      <c r="AE34" s="8"/>
      <c r="AF34" s="8"/>
      <c r="AG34" s="7"/>
    </row>
    <row r="35" spans="1:33" x14ac:dyDescent="0.25">
      <c r="A35" s="7">
        <v>21.527777777777779</v>
      </c>
      <c r="B35" s="7">
        <v>4.0593801434513797</v>
      </c>
      <c r="C35" s="7">
        <v>5.4786549307834527</v>
      </c>
      <c r="D35" s="7">
        <v>6.225218710827189</v>
      </c>
      <c r="E35" s="7">
        <v>7.2601591059495165</v>
      </c>
      <c r="F35" s="7">
        <v>12.400000000000006</v>
      </c>
      <c r="G35" s="7"/>
      <c r="H35" s="7"/>
      <c r="I35" s="7"/>
      <c r="J35" s="8">
        <f t="shared" si="1"/>
        <v>5.1666666666666679</v>
      </c>
      <c r="K35" s="7">
        <f t="shared" si="8"/>
        <v>0.16903275688918251</v>
      </c>
      <c r="L35" s="7">
        <f t="shared" si="8"/>
        <v>0.22418143923739642</v>
      </c>
      <c r="M35" s="7">
        <f t="shared" si="8"/>
        <v>0.25477752100322881</v>
      </c>
      <c r="N35" s="7">
        <f t="shared" si="8"/>
        <v>0.29063531748524341</v>
      </c>
      <c r="O35" s="7">
        <f t="shared" si="8"/>
        <v>0.40000000000000036</v>
      </c>
      <c r="P35" s="7"/>
      <c r="Q35" s="8">
        <f t="shared" si="3"/>
        <v>5.1666666666666679</v>
      </c>
      <c r="R35" s="8">
        <f t="shared" si="4"/>
        <v>3.5666357505675865E-2</v>
      </c>
      <c r="S35" s="8">
        <f t="shared" si="5"/>
        <v>9.4795713167364279E-2</v>
      </c>
      <c r="T35" s="8">
        <f>$M35*T$2*$AG$2/100</f>
        <v>0.20547848036395933</v>
      </c>
      <c r="U35" s="8">
        <f>$M35*U$2*$AG$2/100</f>
        <v>0.26785660454979804</v>
      </c>
      <c r="V35" s="8">
        <f>$M35*V$2*$AG$2/100</f>
        <v>0.3273402363215967</v>
      </c>
      <c r="W35" s="8">
        <f>$M35*W$2*$AG$2/100</f>
        <v>0.40003355711603483</v>
      </c>
      <c r="X35" s="8">
        <f>$M35*X$2*$AG$2/100</f>
        <v>0.48887007786506487</v>
      </c>
      <c r="Y35" s="8">
        <f>$M35*Y$2*$AG$2/100</f>
        <v>0.63727879868971282</v>
      </c>
      <c r="Z35" s="8">
        <f>$M35*Z$2*$AG$2/100</f>
        <v>0.77882172563337027</v>
      </c>
      <c r="AA35" s="8">
        <f>$N35*AA$2*$AG$2/100</f>
        <v>1.0857313311192371</v>
      </c>
      <c r="AB35" s="8">
        <f>$N35*AB$2*$AG$2/100</f>
        <v>1.4197495713180481</v>
      </c>
      <c r="AC35" s="8">
        <f>$N35*AC$2*$AG$2/100</f>
        <v>1.5219716523134226</v>
      </c>
      <c r="AD35" s="8">
        <f t="shared" si="6"/>
        <v>3.9929957440000035</v>
      </c>
      <c r="AE35" s="8"/>
      <c r="AF35" s="8"/>
      <c r="AG35" s="7"/>
    </row>
    <row r="36" spans="1:33" x14ac:dyDescent="0.25">
      <c r="A36" s="7">
        <v>22.222222222222221</v>
      </c>
      <c r="B36" s="7">
        <v>4.2321990886502574</v>
      </c>
      <c r="C36" s="7">
        <v>5.7074900750794981</v>
      </c>
      <c r="D36" s="7">
        <v>6.485316890077228</v>
      </c>
      <c r="E36" s="7">
        <v>7.5562341944148885</v>
      </c>
      <c r="F36" s="7">
        <v>12.900000000000006</v>
      </c>
      <c r="G36" s="7"/>
      <c r="H36" s="7"/>
      <c r="I36" s="7"/>
      <c r="J36" s="8">
        <f t="shared" si="1"/>
        <v>5.3333333333333321</v>
      </c>
      <c r="K36" s="7">
        <f t="shared" si="8"/>
        <v>0.17281894519887775</v>
      </c>
      <c r="L36" s="7">
        <f t="shared" si="8"/>
        <v>0.22883514429604546</v>
      </c>
      <c r="M36" s="7">
        <f t="shared" si="8"/>
        <v>0.26009817925003897</v>
      </c>
      <c r="N36" s="7">
        <f t="shared" si="8"/>
        <v>0.296075088465372</v>
      </c>
      <c r="O36" s="7">
        <f t="shared" si="8"/>
        <v>0.5</v>
      </c>
      <c r="P36" s="7"/>
      <c r="Q36" s="8">
        <f t="shared" si="3"/>
        <v>5.3333333333333321</v>
      </c>
      <c r="R36" s="8">
        <f t="shared" si="4"/>
        <v>3.6465253224604074E-2</v>
      </c>
      <c r="S36" s="8">
        <f t="shared" si="5"/>
        <v>9.6763544631939952E-2</v>
      </c>
      <c r="T36" s="8">
        <f>$M36*T$2*$AG$2/100</f>
        <v>0.20976959979547566</v>
      </c>
      <c r="U36" s="8">
        <f>$M36*U$2*$AG$2/100</f>
        <v>0.27345040044807267</v>
      </c>
      <c r="V36" s="8">
        <f>$M36*V$2*$AG$2/100</f>
        <v>0.33417626141925516</v>
      </c>
      <c r="W36" s="8">
        <f>$M36*W$2*$AG$2/100</f>
        <v>0.40838767657009478</v>
      </c>
      <c r="X36" s="8">
        <f>$M36*X$2*$AG$2/100</f>
        <v>0.49907941894495755</v>
      </c>
      <c r="Y36" s="8">
        <f>$M36*Y$2*$AG$2/100</f>
        <v>0.65058744021512704</v>
      </c>
      <c r="Z36" s="8">
        <f>$M36*Z$2*$AG$2/100</f>
        <v>0.79508628547746096</v>
      </c>
      <c r="AA36" s="8">
        <f>$N36*AA$2*$AG$2/100</f>
        <v>1.1060527766969539</v>
      </c>
      <c r="AB36" s="8">
        <f>$N36*AB$2*$AG$2/100</f>
        <v>1.4463227785384611</v>
      </c>
      <c r="AC36" s="8">
        <f>$N36*AC$2*$AG$2/100</f>
        <v>1.5504581325473787</v>
      </c>
      <c r="AD36" s="8">
        <f t="shared" si="6"/>
        <v>4.9912446800000003</v>
      </c>
      <c r="AE36" s="8"/>
      <c r="AF36" s="8"/>
      <c r="AG36" s="7"/>
    </row>
    <row r="37" spans="1:33" x14ac:dyDescent="0.25">
      <c r="A37" s="7">
        <v>22.916666666666664</v>
      </c>
      <c r="B37" s="7">
        <v>4.4089928346062743</v>
      </c>
      <c r="C37" s="7">
        <v>5.9412017802224977</v>
      </c>
      <c r="D37" s="7">
        <v>6.7509952313145316</v>
      </c>
      <c r="E37" s="7">
        <v>7.8579960862610641</v>
      </c>
      <c r="F37" s="7">
        <v>13.400000000000006</v>
      </c>
      <c r="G37" s="7"/>
      <c r="H37" s="7"/>
      <c r="I37" s="7"/>
      <c r="J37" s="8">
        <f t="shared" si="1"/>
        <v>5.5</v>
      </c>
      <c r="K37" s="7">
        <f t="shared" si="8"/>
        <v>0.17679374595601693</v>
      </c>
      <c r="L37" s="7">
        <f t="shared" si="8"/>
        <v>0.23371170514299955</v>
      </c>
      <c r="M37" s="7">
        <f t="shared" si="8"/>
        <v>0.26567834123730361</v>
      </c>
      <c r="N37" s="7">
        <f t="shared" si="8"/>
        <v>0.30176189184617552</v>
      </c>
      <c r="O37" s="7">
        <f t="shared" si="8"/>
        <v>0.5</v>
      </c>
      <c r="P37" s="7"/>
      <c r="Q37" s="8">
        <f t="shared" si="3"/>
        <v>5.5</v>
      </c>
      <c r="R37" s="8">
        <f t="shared" si="4"/>
        <v>3.7303946667383923E-2</v>
      </c>
      <c r="S37" s="8">
        <f t="shared" si="5"/>
        <v>9.8825611254688001E-2</v>
      </c>
      <c r="T37" s="8">
        <f>$M37*T$2*$AG$2/100</f>
        <v>0.21427000941094301</v>
      </c>
      <c r="U37" s="8">
        <f>$M37*U$2*$AG$2/100</f>
        <v>0.27931702179229878</v>
      </c>
      <c r="V37" s="8">
        <f>$M37*V$2*$AG$2/100</f>
        <v>0.34134569903852169</v>
      </c>
      <c r="W37" s="8">
        <f>$M37*W$2*$AG$2/100</f>
        <v>0.4171492503551732</v>
      </c>
      <c r="X37" s="8">
        <f>$M37*X$2*$AG$2/100</f>
        <v>0.50978669882770333</v>
      </c>
      <c r="Y37" s="8">
        <f>$M37*Y$2*$AG$2/100</f>
        <v>0.66454518230216519</v>
      </c>
      <c r="Z37" s="8">
        <f>$M37*Z$2*$AG$2/100</f>
        <v>0.81214411448498991</v>
      </c>
      <c r="AA37" s="8">
        <f>$N37*AA$2*$AG$2/100</f>
        <v>1.1272970654429928</v>
      </c>
      <c r="AB37" s="8">
        <f>$N37*AB$2*$AG$2/100</f>
        <v>1.4741027356748675</v>
      </c>
      <c r="AC37" s="8">
        <f>$N37*AC$2*$AG$2/100</f>
        <v>1.5802382487863573</v>
      </c>
      <c r="AD37" s="8">
        <f t="shared" si="6"/>
        <v>4.9912446800000003</v>
      </c>
      <c r="AE37" s="8"/>
      <c r="AF37" s="8"/>
      <c r="AG37" s="7"/>
    </row>
    <row r="38" spans="1:33" x14ac:dyDescent="0.25">
      <c r="A38" s="7">
        <v>23.611111111111111</v>
      </c>
      <c r="B38" s="7">
        <v>4.5899648315064194</v>
      </c>
      <c r="C38" s="7">
        <v>6.1800299424147189</v>
      </c>
      <c r="D38" s="7">
        <v>7.0225334749687356</v>
      </c>
      <c r="E38" s="7">
        <v>8.1657099529894825</v>
      </c>
      <c r="F38" s="7">
        <v>13.900000000000006</v>
      </c>
      <c r="G38" s="7"/>
      <c r="H38" s="7"/>
      <c r="I38" s="7"/>
      <c r="J38" s="8">
        <f t="shared" si="1"/>
        <v>5.6666666666666661</v>
      </c>
      <c r="K38" s="7">
        <f t="shared" si="8"/>
        <v>0.18097199690014509</v>
      </c>
      <c r="L38" s="7">
        <f t="shared" si="8"/>
        <v>0.23882816219222125</v>
      </c>
      <c r="M38" s="7">
        <f t="shared" si="8"/>
        <v>0.27153824365420398</v>
      </c>
      <c r="N38" s="7">
        <f t="shared" si="8"/>
        <v>0.30771386672841849</v>
      </c>
      <c r="O38" s="7">
        <f t="shared" si="8"/>
        <v>0.5</v>
      </c>
      <c r="P38" s="7"/>
      <c r="Q38" s="8">
        <f t="shared" si="3"/>
        <v>5.6666666666666661</v>
      </c>
      <c r="R38" s="8">
        <f t="shared" si="4"/>
        <v>3.8185568636192026E-2</v>
      </c>
      <c r="S38" s="8">
        <f t="shared" si="5"/>
        <v>0.10098911861962</v>
      </c>
      <c r="T38" s="8">
        <f>$M38*T$2*$AG$2/100</f>
        <v>0.21899603013272612</v>
      </c>
      <c r="U38" s="8">
        <f>$M38*U$2*$AG$2/100</f>
        <v>0.28547774412841176</v>
      </c>
      <c r="V38" s="8">
        <f>$M38*V$2*$AG$2/100</f>
        <v>0.34887454944265661</v>
      </c>
      <c r="W38" s="8">
        <f>$M38*W$2*$AG$2/100</f>
        <v>0.42635005268245463</v>
      </c>
      <c r="X38" s="8">
        <f>$M38*X$2*$AG$2/100</f>
        <v>0.52103074790845205</v>
      </c>
      <c r="Y38" s="8">
        <f>$M38*Y$2*$AG$2/100</f>
        <v>0.67920264328214652</v>
      </c>
      <c r="Z38" s="8">
        <f>$M38*Z$2*$AG$2/100</f>
        <v>0.83005707358123471</v>
      </c>
      <c r="AA38" s="8">
        <f>$N38*AA$2*$AG$2/100</f>
        <v>1.1495319599066158</v>
      </c>
      <c r="AB38" s="8">
        <f>$N38*AB$2*$AG$2/100</f>
        <v>1.5031780519876872</v>
      </c>
      <c r="AC38" s="8">
        <f>$N38*AC$2*$AG$2/100</f>
        <v>1.6114069901645118</v>
      </c>
      <c r="AD38" s="8">
        <f t="shared" si="6"/>
        <v>4.9912446800000003</v>
      </c>
      <c r="AE38" s="8"/>
      <c r="AF38" s="8"/>
      <c r="AG38" s="7"/>
    </row>
    <row r="39" spans="1:33" x14ac:dyDescent="0.25">
      <c r="A39" s="7">
        <v>24.305555555555554</v>
      </c>
      <c r="B39" s="7">
        <v>4.7753349901549846</v>
      </c>
      <c r="C39" s="7">
        <v>6.4242333167360028</v>
      </c>
      <c r="D39" s="7">
        <v>7.3002337967898612</v>
      </c>
      <c r="E39" s="7">
        <v>8.4796609707953294</v>
      </c>
      <c r="F39" s="7">
        <v>14.400000000000006</v>
      </c>
      <c r="G39" s="7"/>
      <c r="H39" s="7"/>
      <c r="I39" s="7"/>
      <c r="J39" s="8">
        <f t="shared" si="1"/>
        <v>5.8333333333333321</v>
      </c>
      <c r="K39" s="7">
        <f t="shared" si="8"/>
        <v>0.18537015864856521</v>
      </c>
      <c r="L39" s="7">
        <f t="shared" si="8"/>
        <v>0.24420337432128392</v>
      </c>
      <c r="M39" s="7">
        <f t="shared" si="8"/>
        <v>0.27770032182112558</v>
      </c>
      <c r="N39" s="7">
        <f t="shared" si="8"/>
        <v>0.31395101780584689</v>
      </c>
      <c r="O39" s="7">
        <f t="shared" si="8"/>
        <v>0.5</v>
      </c>
      <c r="P39" s="7"/>
      <c r="Q39" s="8">
        <f t="shared" si="3"/>
        <v>5.8333333333333321</v>
      </c>
      <c r="R39" s="8">
        <f t="shared" si="4"/>
        <v>3.9113592364692071E-2</v>
      </c>
      <c r="S39" s="8">
        <f t="shared" si="5"/>
        <v>0.10326204125288393</v>
      </c>
      <c r="T39" s="8">
        <f>$M39*T$2*$AG$2/100</f>
        <v>0.22396575608279112</v>
      </c>
      <c r="U39" s="8">
        <f>$M39*U$2*$AG$2/100</f>
        <v>0.29195615450097029</v>
      </c>
      <c r="V39" s="8">
        <f>$M39*V$2*$AG$2/100</f>
        <v>0.35679163771421846</v>
      </c>
      <c r="W39" s="8">
        <f>$M39*W$2*$AG$2/100</f>
        <v>0.43602530989758959</v>
      </c>
      <c r="X39" s="8">
        <f>$M39*X$2*$AG$2/100</f>
        <v>0.53285461534154233</v>
      </c>
      <c r="Y39" s="8">
        <f>$M39*Y$2*$AG$2/100</f>
        <v>0.69461594095528834</v>
      </c>
      <c r="Z39" s="8">
        <f>$M39*Z$2*$AG$2/100</f>
        <v>0.8488937446209408</v>
      </c>
      <c r="AA39" s="8">
        <f>$N39*AA$2*$AG$2/100</f>
        <v>1.1728321919647238</v>
      </c>
      <c r="AB39" s="8">
        <f>$N39*AB$2*$AG$2/100</f>
        <v>1.5336464501336713</v>
      </c>
      <c r="AC39" s="8">
        <f>$N39*AC$2*$AG$2/100</f>
        <v>1.6440691153775777</v>
      </c>
      <c r="AD39" s="8">
        <f t="shared" si="6"/>
        <v>4.9912446800000003</v>
      </c>
      <c r="AE39" s="8"/>
      <c r="AF39" s="8"/>
      <c r="AG39" s="7"/>
    </row>
    <row r="40" spans="1:33" x14ac:dyDescent="0.25">
      <c r="A40" s="7">
        <v>25</v>
      </c>
      <c r="B40" s="7">
        <v>4.965341529446019</v>
      </c>
      <c r="C40" s="7">
        <v>6.674091583251025</v>
      </c>
      <c r="D40" s="7">
        <v>7.5844233162828578</v>
      </c>
      <c r="E40" s="7">
        <v>8.8001564369417444</v>
      </c>
      <c r="F40" s="7">
        <v>14.900000000000006</v>
      </c>
      <c r="G40" s="7"/>
      <c r="H40" s="7"/>
      <c r="I40" s="7"/>
      <c r="J40" s="8">
        <f t="shared" si="1"/>
        <v>6</v>
      </c>
      <c r="K40" s="7">
        <f t="shared" si="8"/>
        <v>0.19000653929103439</v>
      </c>
      <c r="L40" s="7">
        <f t="shared" si="8"/>
        <v>0.24985826651502219</v>
      </c>
      <c r="M40" s="7">
        <f t="shared" si="8"/>
        <v>0.28418951949299665</v>
      </c>
      <c r="N40" s="7">
        <f t="shared" si="8"/>
        <v>0.320495466146415</v>
      </c>
      <c r="O40" s="7">
        <f t="shared" si="8"/>
        <v>0.5</v>
      </c>
      <c r="P40" s="7"/>
      <c r="Q40" s="8">
        <f t="shared" si="3"/>
        <v>6</v>
      </c>
      <c r="R40" s="8">
        <f t="shared" si="4"/>
        <v>4.0091880908108023E-2</v>
      </c>
      <c r="S40" s="8">
        <f t="shared" si="5"/>
        <v>0.10565322733953547</v>
      </c>
      <c r="T40" s="8">
        <f>$M40*T$2*$AG$2/100</f>
        <v>0.22919930443959655</v>
      </c>
      <c r="U40" s="8">
        <f>$M40*U$2*$AG$2/100</f>
        <v>0.29877847716034572</v>
      </c>
      <c r="V40" s="8">
        <f>$M40*V$2*$AG$2/100</f>
        <v>0.36512901179291868</v>
      </c>
      <c r="W40" s="8">
        <f>$M40*W$2*$AG$2/100</f>
        <v>0.44621418691187997</v>
      </c>
      <c r="X40" s="8">
        <f>$M40*X$2*$AG$2/100</f>
        <v>0.54530616349476124</v>
      </c>
      <c r="Y40" s="8">
        <f>$M40*Y$2*$AG$2/100</f>
        <v>0.71084746750639904</v>
      </c>
      <c r="Z40" s="8">
        <f>$M40*Z$2*$AG$2/100</f>
        <v>0.86873037741680903</v>
      </c>
      <c r="AA40" s="8">
        <f>$N40*AA$2*$AG$2/100</f>
        <v>1.1972803996695804</v>
      </c>
      <c r="AB40" s="8">
        <f>$N40*AB$2*$AG$2/100</f>
        <v>1.5656159912287806</v>
      </c>
      <c r="AC40" s="8">
        <f>$N40*AC$2*$AG$2/100</f>
        <v>1.6783404659503793</v>
      </c>
      <c r="AD40" s="8">
        <f t="shared" si="6"/>
        <v>4.9912446800000003</v>
      </c>
      <c r="AE40" s="8"/>
      <c r="AF40" s="8"/>
      <c r="AG40" s="7"/>
    </row>
    <row r="41" spans="1:33" x14ac:dyDescent="0.25">
      <c r="A41" s="7">
        <v>25.694444444444443</v>
      </c>
      <c r="B41" s="7">
        <v>5.160243091900413</v>
      </c>
      <c r="C41" s="7">
        <v>6.9299077131811355</v>
      </c>
      <c r="D41" s="7">
        <v>7.8754569691369127</v>
      </c>
      <c r="E41" s="7">
        <v>9.1275281767109782</v>
      </c>
      <c r="F41" s="7">
        <v>15.400000000000006</v>
      </c>
      <c r="G41" s="7"/>
      <c r="H41" s="7"/>
      <c r="I41" s="7"/>
      <c r="J41" s="8">
        <f t="shared" si="1"/>
        <v>6.1666666666666661</v>
      </c>
      <c r="K41" s="7">
        <f t="shared" si="8"/>
        <v>0.19490156245439394</v>
      </c>
      <c r="L41" s="7">
        <f t="shared" si="8"/>
        <v>0.25581612993011049</v>
      </c>
      <c r="M41" s="7">
        <f t="shared" si="8"/>
        <v>0.29103365285405491</v>
      </c>
      <c r="N41" s="7">
        <f t="shared" si="8"/>
        <v>0.32737173976923373</v>
      </c>
      <c r="O41" s="7">
        <f t="shared" si="8"/>
        <v>0.5</v>
      </c>
      <c r="P41" s="7"/>
      <c r="Q41" s="8">
        <f t="shared" si="3"/>
        <v>6.1666666666666661</v>
      </c>
      <c r="R41" s="8">
        <f t="shared" si="4"/>
        <v>4.1124743705568075E-2</v>
      </c>
      <c r="S41" s="8">
        <f t="shared" si="5"/>
        <v>0.10817252560663676</v>
      </c>
      <c r="T41" s="8">
        <f>$M41*T$2*$AG$2/100</f>
        <v>0.23471910900045775</v>
      </c>
      <c r="U41" s="8">
        <f>$M41*U$2*$AG$2/100</f>
        <v>0.30597395624327406</v>
      </c>
      <c r="V41" s="8">
        <f>$M41*V$2*$AG$2/100</f>
        <v>0.37392241013906613</v>
      </c>
      <c r="W41" s="8">
        <f>$M41*W$2*$AG$2/100</f>
        <v>0.45696035872099322</v>
      </c>
      <c r="X41" s="8">
        <f>$M41*X$2*$AG$2/100</f>
        <v>0.55843876638674483</v>
      </c>
      <c r="Y41" s="8">
        <f>$M41*Y$2*$AG$2/100</f>
        <v>0.72796679997039659</v>
      </c>
      <c r="Z41" s="8">
        <f>$M41*Z$2*$AG$2/100</f>
        <v>0.88965200242412978</v>
      </c>
      <c r="AA41" s="8">
        <f>$N41*AA$2*$AG$2/100</f>
        <v>1.2229682127620898</v>
      </c>
      <c r="AB41" s="8">
        <f>$N41*AB$2*$AG$2/100</f>
        <v>1.5992064943126261</v>
      </c>
      <c r="AC41" s="8">
        <f>$N41*AC$2*$AG$2/100</f>
        <v>1.7143494879028196</v>
      </c>
      <c r="AD41" s="8">
        <f t="shared" si="6"/>
        <v>4.9912446800000003</v>
      </c>
      <c r="AE41" s="8"/>
      <c r="AF41" s="8"/>
      <c r="AG41" s="7"/>
    </row>
    <row r="42" spans="1:33" x14ac:dyDescent="0.25">
      <c r="A42" s="7">
        <v>26.388888888888889</v>
      </c>
      <c r="B42" s="7">
        <v>5.360321181605034</v>
      </c>
      <c r="C42" s="7">
        <v>7.1920106749083432</v>
      </c>
      <c r="D42" s="7">
        <v>8.1737208092682518</v>
      </c>
      <c r="E42" s="7">
        <v>9.4621352918777308</v>
      </c>
      <c r="F42" s="7">
        <v>15.900000000000006</v>
      </c>
      <c r="G42" s="7"/>
      <c r="H42" s="7"/>
      <c r="I42" s="7"/>
      <c r="J42" s="8">
        <f t="shared" si="1"/>
        <v>6.3333333333333339</v>
      </c>
      <c r="K42" s="7">
        <f t="shared" si="8"/>
        <v>0.20007808970462104</v>
      </c>
      <c r="L42" s="7">
        <f t="shared" si="8"/>
        <v>0.26210296172720771</v>
      </c>
      <c r="M42" s="7">
        <f t="shared" si="8"/>
        <v>0.29826384013133911</v>
      </c>
      <c r="N42" s="7">
        <f t="shared" si="8"/>
        <v>0.33460711516675268</v>
      </c>
      <c r="O42" s="7">
        <f t="shared" si="8"/>
        <v>0.5</v>
      </c>
      <c r="P42" s="7"/>
      <c r="Q42" s="8">
        <f t="shared" si="3"/>
        <v>6.3333333333333339</v>
      </c>
      <c r="R42" s="8">
        <f t="shared" si="4"/>
        <v>4.2217004607787843E-2</v>
      </c>
      <c r="S42" s="8">
        <f t="shared" si="5"/>
        <v>0.11083092902217553</v>
      </c>
      <c r="T42" s="8">
        <f>$M42*T$2*$AG$2/100</f>
        <v>0.24055026666551865</v>
      </c>
      <c r="U42" s="8">
        <f>$M42*U$2*$AG$2/100</f>
        <v>0.31357530744068973</v>
      </c>
      <c r="V42" s="8">
        <f>$M42*V$2*$AG$2/100</f>
        <v>0.38321181370448359</v>
      </c>
      <c r="W42" s="8">
        <f>$M42*W$2*$AG$2/100</f>
        <v>0.46831268495353578</v>
      </c>
      <c r="X42" s="8">
        <f>$M42*X$2*$AG$2/100</f>
        <v>0.57231213403435666</v>
      </c>
      <c r="Y42" s="8">
        <f>$M42*Y$2*$AG$2/100</f>
        <v>0.74605177483091789</v>
      </c>
      <c r="Z42" s="8">
        <f>$M42*Z$2*$AG$2/100</f>
        <v>0.91175374401331621</v>
      </c>
      <c r="AA42" s="8">
        <f>$N42*AA$2*$AG$2/100</f>
        <v>1.2499975285020617</v>
      </c>
      <c r="AB42" s="8">
        <f>$N42*AB$2*$AG$2/100</f>
        <v>1.63455120467968</v>
      </c>
      <c r="AC42" s="8">
        <f>$N42*AC$2*$AG$2/100</f>
        <v>1.7522390202010714</v>
      </c>
      <c r="AD42" s="8">
        <f t="shared" si="6"/>
        <v>4.9912446800000003</v>
      </c>
      <c r="AE42" s="8"/>
      <c r="AF42" s="8"/>
      <c r="AG42" s="7"/>
    </row>
    <row r="43" spans="1:33" x14ac:dyDescent="0.25">
      <c r="A43" s="7">
        <v>27.083333333333332</v>
      </c>
      <c r="B43" s="7">
        <v>5.5658829716463609</v>
      </c>
      <c r="C43" s="7">
        <v>7.4607585593466892</v>
      </c>
      <c r="D43" s="7">
        <v>8.4796358203667861</v>
      </c>
      <c r="E43" s="7">
        <v>9.8043673115989431</v>
      </c>
      <c r="F43" s="7">
        <v>16.400000000000006</v>
      </c>
      <c r="G43" s="7"/>
      <c r="H43" s="7"/>
      <c r="I43" s="7"/>
      <c r="J43" s="8">
        <f t="shared" si="1"/>
        <v>6.5</v>
      </c>
      <c r="K43" s="7">
        <f t="shared" si="8"/>
        <v>0.20556179004132691</v>
      </c>
      <c r="L43" s="7">
        <f t="shared" si="8"/>
        <v>0.26874788443834596</v>
      </c>
      <c r="M43" s="7">
        <f t="shared" si="8"/>
        <v>0.30591501109853425</v>
      </c>
      <c r="N43" s="7">
        <f t="shared" si="8"/>
        <v>0.34223201972121231</v>
      </c>
      <c r="O43" s="7">
        <f t="shared" si="8"/>
        <v>0.5</v>
      </c>
      <c r="P43" s="7"/>
      <c r="Q43" s="8">
        <f t="shared" si="3"/>
        <v>6.5</v>
      </c>
      <c r="R43" s="8">
        <f t="shared" si="4"/>
        <v>4.3374079841383965E-2</v>
      </c>
      <c r="S43" s="8">
        <f t="shared" si="5"/>
        <v>0.11364075212567216</v>
      </c>
      <c r="T43" s="8">
        <f>$M43*T$2*$AG$2/100</f>
        <v>0.24672094835342226</v>
      </c>
      <c r="U43" s="8">
        <f>$M43*U$2*$AG$2/100</f>
        <v>0.32161925365711014</v>
      </c>
      <c r="V43" s="8">
        <f>$M43*V$2*$AG$2/100</f>
        <v>0.39304210054720257</v>
      </c>
      <c r="W43" s="8">
        <f>$M43*W$2*$AG$2/100</f>
        <v>0.48032600985778118</v>
      </c>
      <c r="X43" s="8">
        <f>$M43*X$2*$AG$2/100</f>
        <v>0.5869932900946051</v>
      </c>
      <c r="Y43" s="8">
        <f>$M43*Y$2*$AG$2/100</f>
        <v>0.76518976244985681</v>
      </c>
      <c r="Z43" s="8">
        <f>$M43*Z$2*$AG$2/100</f>
        <v>0.93514237795685529</v>
      </c>
      <c r="AA43" s="8">
        <f>$N43*AA$2*$AG$2/100</f>
        <v>1.2784820149822393</v>
      </c>
      <c r="AB43" s="8">
        <f>$N43*AB$2*$AG$2/100</f>
        <v>1.6717987596781696</v>
      </c>
      <c r="AC43" s="8">
        <f>$N43*AC$2*$AG$2/100</f>
        <v>1.7921684020941453</v>
      </c>
      <c r="AD43" s="8">
        <f t="shared" si="6"/>
        <v>4.9912446800000003</v>
      </c>
      <c r="AE43" s="8"/>
      <c r="AF43" s="8"/>
      <c r="AG43" s="7"/>
    </row>
    <row r="44" spans="1:33" x14ac:dyDescent="0.25">
      <c r="A44" s="7">
        <v>27.777777777777779</v>
      </c>
      <c r="B44" s="7">
        <v>5.7772645643559839</v>
      </c>
      <c r="C44" s="7">
        <v>7.7365421897551805</v>
      </c>
      <c r="D44" s="7">
        <v>8.7936623347756129</v>
      </c>
      <c r="E44" s="7">
        <v>10.154647817420805</v>
      </c>
      <c r="F44" s="7">
        <v>16.900000000000006</v>
      </c>
      <c r="G44" s="7"/>
      <c r="H44" s="7"/>
      <c r="I44" s="7"/>
      <c r="J44" s="8">
        <f t="shared" si="1"/>
        <v>6.6666666666666679</v>
      </c>
      <c r="K44" s="7">
        <f t="shared" si="8"/>
        <v>0.21138159270962298</v>
      </c>
      <c r="L44" s="7">
        <f t="shared" si="8"/>
        <v>0.2757836304084913</v>
      </c>
      <c r="M44" s="7">
        <f t="shared" si="8"/>
        <v>0.31402651440882678</v>
      </c>
      <c r="N44" s="7">
        <f t="shared" si="8"/>
        <v>0.35028050582186232</v>
      </c>
      <c r="O44" s="7">
        <f t="shared" si="8"/>
        <v>0.5</v>
      </c>
      <c r="P44" s="7"/>
      <c r="Q44" s="8">
        <f t="shared" si="3"/>
        <v>6.6666666666666679</v>
      </c>
      <c r="R44" s="8">
        <f t="shared" si="4"/>
        <v>4.4602073553372083E-2</v>
      </c>
      <c r="S44" s="8">
        <f t="shared" si="5"/>
        <v>0.11661583587557202</v>
      </c>
      <c r="T44" s="8">
        <f>$M44*T$2*$AG$2/100</f>
        <v>0.25326288881623493</v>
      </c>
      <c r="U44" s="8">
        <f>$M44*U$2*$AG$2/100</f>
        <v>0.33014716352111206</v>
      </c>
      <c r="V44" s="8">
        <f>$M44*V$2*$AG$2/100</f>
        <v>0.40346382613766751</v>
      </c>
      <c r="W44" s="8">
        <f>$M44*W$2*$AG$2/100</f>
        <v>0.49306211589255844</v>
      </c>
      <c r="X44" s="8">
        <f>$M44*X$2*$AG$2/100</f>
        <v>0.60255773722200745</v>
      </c>
      <c r="Y44" s="8">
        <f>$M44*Y$2*$AG$2/100</f>
        <v>0.78547918619805845</v>
      </c>
      <c r="Z44" s="8">
        <f>$M44*Z$2*$AG$2/100</f>
        <v>0.95993818796680808</v>
      </c>
      <c r="AA44" s="8">
        <f>$N44*AA$2*$AG$2/100</f>
        <v>1.30854888229611</v>
      </c>
      <c r="AB44" s="8">
        <f>$N44*AB$2*$AG$2/100</f>
        <v>1.7111155047662379</v>
      </c>
      <c r="AC44" s="8">
        <f>$N44*AC$2*$AG$2/100</f>
        <v>1.8343159559262769</v>
      </c>
      <c r="AD44" s="8">
        <f t="shared" si="6"/>
        <v>4.9912446800000003</v>
      </c>
      <c r="AE44" s="8"/>
      <c r="AF44" s="8"/>
      <c r="AG44" s="7"/>
    </row>
    <row r="45" spans="1:33" x14ac:dyDescent="0.25">
      <c r="A45" s="7">
        <v>28.472222222222221</v>
      </c>
      <c r="B45" s="7">
        <v>5.9948347949303606</v>
      </c>
      <c r="C45" s="7">
        <v>8.0197893081808616</v>
      </c>
      <c r="D45" s="7">
        <v>9.1163051802354236</v>
      </c>
      <c r="E45" s="7">
        <v>10.51343863331549</v>
      </c>
      <c r="F45" s="7">
        <v>17.400000000000006</v>
      </c>
      <c r="G45" s="7"/>
      <c r="H45" s="7"/>
      <c r="I45" s="7"/>
      <c r="J45" s="8">
        <f t="shared" si="1"/>
        <v>6.8333333333333321</v>
      </c>
      <c r="K45" s="7">
        <f t="shared" si="8"/>
        <v>0.21757023057437674</v>
      </c>
      <c r="L45" s="7">
        <f t="shared" si="8"/>
        <v>0.28324711842568107</v>
      </c>
      <c r="M45" s="7">
        <f t="shared" si="8"/>
        <v>0.3226428454598107</v>
      </c>
      <c r="N45" s="7">
        <f t="shared" si="8"/>
        <v>0.3587908158946842</v>
      </c>
      <c r="O45" s="7">
        <f t="shared" si="8"/>
        <v>0.5</v>
      </c>
      <c r="P45" s="7"/>
      <c r="Q45" s="8">
        <f t="shared" si="3"/>
        <v>6.8333333333333321</v>
      </c>
      <c r="R45" s="8">
        <f t="shared" si="4"/>
        <v>4.5907892464567966E-2</v>
      </c>
      <c r="S45" s="8">
        <f t="shared" si="5"/>
        <v>0.11977179147882054</v>
      </c>
      <c r="T45" s="8">
        <f>$M45*T$2*$AG$2/100</f>
        <v>0.26021197366366361</v>
      </c>
      <c r="U45" s="8">
        <f>$M45*U$2*$AG$2/100</f>
        <v>0.33920581661541038</v>
      </c>
      <c r="V45" s="8">
        <f>$M45*V$2*$AG$2/100</f>
        <v>0.41453415852550179</v>
      </c>
      <c r="W45" s="8">
        <f>$M45*W$2*$AG$2/100</f>
        <v>0.50659086656899954</v>
      </c>
      <c r="X45" s="8">
        <f>$M45*X$2*$AG$2/100</f>
        <v>0.61909085370425909</v>
      </c>
      <c r="Y45" s="8">
        <f>$M45*Y$2*$AG$2/100</f>
        <v>0.80703134307462332</v>
      </c>
      <c r="Z45" s="8">
        <f>$M45*Z$2*$AG$2/100</f>
        <v>0.98627719068310615</v>
      </c>
      <c r="AA45" s="8">
        <f>$N45*AA$2*$AG$2/100</f>
        <v>1.3403409933291106</v>
      </c>
      <c r="AB45" s="8">
        <f>$N45*AB$2*$AG$2/100</f>
        <v>1.7526882536744501</v>
      </c>
      <c r="AC45" s="8">
        <f>$N45*AC$2*$AG$2/100</f>
        <v>1.8788819460313504</v>
      </c>
      <c r="AD45" s="8">
        <f t="shared" si="6"/>
        <v>4.9912446800000003</v>
      </c>
      <c r="AE45" s="8"/>
      <c r="AF45" s="8"/>
      <c r="AG45" s="7"/>
    </row>
    <row r="46" spans="1:33" x14ac:dyDescent="0.25">
      <c r="A46" s="7">
        <v>29.166666666666668</v>
      </c>
      <c r="B46" s="7">
        <v>6.2189996762321913</v>
      </c>
      <c r="C46" s="7">
        <v>8.3109694813337924</v>
      </c>
      <c r="D46" s="7">
        <v>9.4481197039637195</v>
      </c>
      <c r="E46" s="7">
        <v>10.881244689499535</v>
      </c>
      <c r="F46" s="7">
        <v>17.900000000000006</v>
      </c>
      <c r="G46" s="7"/>
      <c r="H46" s="7"/>
      <c r="I46" s="7"/>
      <c r="J46" s="8">
        <f t="shared" si="1"/>
        <v>7</v>
      </c>
      <c r="K46" s="7">
        <f t="shared" si="8"/>
        <v>0.22416488130183065</v>
      </c>
      <c r="L46" s="7">
        <f t="shared" si="8"/>
        <v>0.29118017315293088</v>
      </c>
      <c r="M46" s="7">
        <f t="shared" si="8"/>
        <v>0.3318145237282959</v>
      </c>
      <c r="N46" s="7">
        <f t="shared" si="8"/>
        <v>0.36780605618404572</v>
      </c>
      <c r="O46" s="7">
        <f t="shared" si="8"/>
        <v>0.5</v>
      </c>
      <c r="P46" s="7"/>
      <c r="Q46" s="8">
        <f t="shared" si="3"/>
        <v>7</v>
      </c>
      <c r="R46" s="8">
        <f t="shared" si="4"/>
        <v>4.7299381160600049E-2</v>
      </c>
      <c r="S46" s="8">
        <f t="shared" si="5"/>
        <v>0.12312630460454381</v>
      </c>
      <c r="T46" s="8">
        <f>$M46*T$2*$AG$2/100</f>
        <v>0.26760894693498921</v>
      </c>
      <c r="U46" s="8">
        <f>$M46*U$2*$AG$2/100</f>
        <v>0.34884832584992204</v>
      </c>
      <c r="V46" s="8">
        <f>$M46*V$2*$AG$2/100</f>
        <v>0.42631800554642313</v>
      </c>
      <c r="W46" s="8">
        <f>$M46*W$2*$AG$2/100</f>
        <v>0.52099158397930634</v>
      </c>
      <c r="X46" s="8">
        <f>$M46*X$2*$AG$2/100</f>
        <v>0.63668957690249162</v>
      </c>
      <c r="Y46" s="8">
        <f>$M46*Y$2*$AG$2/100</f>
        <v>0.82997259819749858</v>
      </c>
      <c r="Z46" s="8">
        <f>$M46*Z$2*$AG$2/100</f>
        <v>1.0143138175718855</v>
      </c>
      <c r="AA46" s="8">
        <f>$N46*AA$2*$AG$2/100</f>
        <v>1.374019380816293</v>
      </c>
      <c r="AB46" s="8">
        <f>$N46*AB$2*$AG$2/100</f>
        <v>1.7967275798200071</v>
      </c>
      <c r="AC46" s="8">
        <f>$N46*AC$2*$AG$2/100</f>
        <v>1.926092107129197</v>
      </c>
      <c r="AD46" s="8">
        <f t="shared" si="6"/>
        <v>4.9912446800000003</v>
      </c>
      <c r="AE46" s="8"/>
      <c r="AF46" s="8"/>
      <c r="AG46" s="7"/>
    </row>
    <row r="47" spans="1:33" x14ac:dyDescent="0.25">
      <c r="A47" s="7">
        <v>29.861111111111111</v>
      </c>
      <c r="B47" s="7">
        <v>6.4502076332956975</v>
      </c>
      <c r="C47" s="7">
        <v>8.6105998325434268</v>
      </c>
      <c r="D47" s="7">
        <v>9.7897188607143342</v>
      </c>
      <c r="E47" s="7">
        <v>11.258619696402612</v>
      </c>
      <c r="F47" s="7">
        <v>18.400000000000006</v>
      </c>
      <c r="G47" s="7"/>
      <c r="H47" s="7"/>
      <c r="I47" s="7"/>
      <c r="J47" s="8">
        <f t="shared" si="1"/>
        <v>7.1666666666666661</v>
      </c>
      <c r="K47" s="7">
        <f t="shared" si="8"/>
        <v>0.23120795706350616</v>
      </c>
      <c r="L47" s="7">
        <f t="shared" si="8"/>
        <v>0.29963035120963433</v>
      </c>
      <c r="M47" s="7">
        <f t="shared" si="8"/>
        <v>0.3415991567506147</v>
      </c>
      <c r="N47" s="7">
        <f t="shared" si="8"/>
        <v>0.37737500690307613</v>
      </c>
      <c r="O47" s="7">
        <f t="shared" si="8"/>
        <v>0.5</v>
      </c>
      <c r="P47" s="7"/>
      <c r="Q47" s="8">
        <f t="shared" si="3"/>
        <v>7.1666666666666661</v>
      </c>
      <c r="R47" s="8">
        <f t="shared" si="4"/>
        <v>4.8785488721515981E-2</v>
      </c>
      <c r="S47" s="8">
        <f t="shared" si="5"/>
        <v>0.12669948469474815</v>
      </c>
      <c r="T47" s="8">
        <f>$M47*T$2*$AG$2/100</f>
        <v>0.2755002692008951</v>
      </c>
      <c r="U47" s="8">
        <f>$M47*U$2*$AG$2/100</f>
        <v>0.35913525606183394</v>
      </c>
      <c r="V47" s="8">
        <f>$M47*V$2*$AG$2/100</f>
        <v>0.43888938183281589</v>
      </c>
      <c r="W47" s="8">
        <f>$M47*W$2*$AG$2/100</f>
        <v>0.53635471938301249</v>
      </c>
      <c r="X47" s="8">
        <f>$M47*X$2*$AG$2/100</f>
        <v>0.65546444482909128</v>
      </c>
      <c r="Y47" s="8">
        <f>$M47*Y$2*$AG$2/100</f>
        <v>0.85444704615322697</v>
      </c>
      <c r="Z47" s="8">
        <f>$M47*Z$2*$AG$2/100</f>
        <v>1.044224167374822</v>
      </c>
      <c r="AA47" s="8">
        <f>$N47*AA$2*$AG$2/100</f>
        <v>1.4097662738349461</v>
      </c>
      <c r="AB47" s="8">
        <f>$N47*AB$2*$AG$2/100</f>
        <v>1.8434717738803068</v>
      </c>
      <c r="AC47" s="8">
        <f>$N47*AC$2*$AG$2/100</f>
        <v>1.9762018868447606</v>
      </c>
      <c r="AD47" s="8">
        <f t="shared" si="6"/>
        <v>4.9912446800000003</v>
      </c>
      <c r="AE47" s="8"/>
      <c r="AF47" s="8"/>
      <c r="AG47" s="7"/>
    </row>
    <row r="48" spans="1:33" x14ac:dyDescent="0.25">
      <c r="A48" s="7">
        <v>30.555555555555557</v>
      </c>
      <c r="B48" s="7">
        <v>6.6889557050380741</v>
      </c>
      <c r="C48" s="7">
        <v>8.9192518257485887</v>
      </c>
      <c r="D48" s="7">
        <v>10.14178159960224</v>
      </c>
      <c r="E48" s="7">
        <v>11.646172796717485</v>
      </c>
      <c r="F48" s="7">
        <v>18.900000000000006</v>
      </c>
      <c r="G48" s="7"/>
      <c r="H48" s="7"/>
      <c r="I48" s="7"/>
      <c r="J48" s="8">
        <f t="shared" si="1"/>
        <v>7.3333333333333339</v>
      </c>
      <c r="K48" s="7">
        <f t="shared" si="8"/>
        <v>0.23874807174237667</v>
      </c>
      <c r="L48" s="7">
        <f t="shared" si="8"/>
        <v>0.3086519932051619</v>
      </c>
      <c r="M48" s="7">
        <f t="shared" si="8"/>
        <v>0.35206273888790562</v>
      </c>
      <c r="N48" s="7">
        <f t="shared" si="8"/>
        <v>0.38755310031487333</v>
      </c>
      <c r="O48" s="7">
        <f t="shared" si="8"/>
        <v>0.5</v>
      </c>
      <c r="P48" s="7"/>
      <c r="Q48" s="8">
        <f t="shared" si="3"/>
        <v>7.3333333333333339</v>
      </c>
      <c r="R48" s="8">
        <f t="shared" si="4"/>
        <v>5.0376472804835995E-2</v>
      </c>
      <c r="S48" s="8">
        <f t="shared" si="5"/>
        <v>0.13051430981950368</v>
      </c>
      <c r="T48" s="8">
        <f>$M48*T$2*$AG$2/100</f>
        <v>0.28393916501975647</v>
      </c>
      <c r="U48" s="8">
        <f>$M48*U$2*$AG$2/100</f>
        <v>0.37013598945340798</v>
      </c>
      <c r="V48" s="8">
        <f>$M48*V$2*$AG$2/100</f>
        <v>0.4523330774779582</v>
      </c>
      <c r="W48" s="8">
        <f>$M48*W$2*$AG$2/100</f>
        <v>0.55278389243593362</v>
      </c>
      <c r="X48" s="8">
        <f>$M48*X$2*$AG$2/100</f>
        <v>0.67554208823366801</v>
      </c>
      <c r="Y48" s="8">
        <f>$M48*Y$2*$AG$2/100</f>
        <v>0.88061975961784777</v>
      </c>
      <c r="Z48" s="8">
        <f>$M48*Z$2*$AG$2/100</f>
        <v>1.0762099762655846</v>
      </c>
      <c r="AA48" s="8">
        <f>$N48*AA$2*$AG$2/100</f>
        <v>1.4477887516393084</v>
      </c>
      <c r="AB48" s="8">
        <f>$N48*AB$2*$AG$2/100</f>
        <v>1.8931916217063296</v>
      </c>
      <c r="AC48" s="8">
        <f>$N48*AC$2*$AG$2/100</f>
        <v>2.0295015676316281</v>
      </c>
      <c r="AD48" s="8">
        <f t="shared" si="6"/>
        <v>4.9912446800000003</v>
      </c>
      <c r="AE48" s="8"/>
      <c r="AF48" s="8"/>
      <c r="AG48" s="7"/>
    </row>
    <row r="49" spans="1:33" x14ac:dyDescent="0.25">
      <c r="A49" s="7">
        <v>31.25</v>
      </c>
      <c r="B49" s="7">
        <v>6.9357969196593174</v>
      </c>
      <c r="C49" s="7">
        <v>9.2375593021666731</v>
      </c>
      <c r="D49" s="7">
        <v>10.505062847373157</v>
      </c>
      <c r="E49" s="7">
        <v>12.044576408403643</v>
      </c>
      <c r="F49" s="7">
        <v>19.400000000000006</v>
      </c>
      <c r="G49" s="7"/>
      <c r="H49" s="7"/>
      <c r="I49" s="7"/>
      <c r="J49" s="8">
        <f t="shared" si="1"/>
        <v>7.5</v>
      </c>
      <c r="K49" s="7">
        <f t="shared" si="8"/>
        <v>0.24684121462124331</v>
      </c>
      <c r="L49" s="7">
        <f t="shared" si="8"/>
        <v>0.31830747641808443</v>
      </c>
      <c r="M49" s="7">
        <f t="shared" si="8"/>
        <v>0.3632812477709173</v>
      </c>
      <c r="N49" s="7">
        <f t="shared" si="8"/>
        <v>0.39840361168615779</v>
      </c>
      <c r="O49" s="7">
        <f t="shared" si="8"/>
        <v>0.5</v>
      </c>
      <c r="P49" s="7"/>
      <c r="Q49" s="8">
        <f t="shared" si="3"/>
        <v>7.5</v>
      </c>
      <c r="R49" s="8">
        <f t="shared" si="4"/>
        <v>5.2084147296895617E-2</v>
      </c>
      <c r="S49" s="8">
        <f t="shared" si="5"/>
        <v>0.13459715637565969</v>
      </c>
      <c r="T49" s="8">
        <f>$M49*T$2*$AG$2/100</f>
        <v>0.2929869104729419</v>
      </c>
      <c r="U49" s="8">
        <f>$M49*U$2*$AG$2/100</f>
        <v>0.38193040399077666</v>
      </c>
      <c r="V49" s="8">
        <f>$M49*V$2*$AG$2/100</f>
        <v>0.46674670916132177</v>
      </c>
      <c r="W49" s="8">
        <f>$M49*W$2*$AG$2/100</f>
        <v>0.57039839781434232</v>
      </c>
      <c r="X49" s="8">
        <f>$M49*X$2*$AG$2/100</f>
        <v>0.6970682938799595</v>
      </c>
      <c r="Y49" s="8">
        <f>$M49*Y$2*$AG$2/100</f>
        <v>0.908680782568004</v>
      </c>
      <c r="Z49" s="8">
        <f>$M49*Z$2*$AG$2/100</f>
        <v>1.1105034979738426</v>
      </c>
      <c r="AA49" s="8">
        <f>$N49*AA$2*$AG$2/100</f>
        <v>1.4883231927265219</v>
      </c>
      <c r="AB49" s="8">
        <f>$N49*AB$2*$AG$2/100</f>
        <v>1.9461962221150355</v>
      </c>
      <c r="AC49" s="8">
        <f>$N49*AC$2*$AG$2/100</f>
        <v>2.0863225034459334</v>
      </c>
      <c r="AD49" s="8">
        <f t="shared" si="6"/>
        <v>4.9912446800000003</v>
      </c>
      <c r="AE49" s="8"/>
      <c r="AF49" s="8"/>
      <c r="AG49" s="7"/>
    </row>
    <row r="50" spans="1:33" x14ac:dyDescent="0.25">
      <c r="A50" s="7">
        <v>31.944444444444443</v>
      </c>
      <c r="B50" s="7">
        <v>7.1913491480200262</v>
      </c>
      <c r="C50" s="7">
        <v>9.5662280895904104</v>
      </c>
      <c r="D50" s="7">
        <v>10.880405468726197</v>
      </c>
      <c r="E50" s="7">
        <v>12.454575524863804</v>
      </c>
      <c r="F50" s="7">
        <v>19.900000000000006</v>
      </c>
      <c r="G50" s="7"/>
      <c r="H50" s="7"/>
      <c r="I50" s="7"/>
      <c r="J50" s="8">
        <f t="shared" si="1"/>
        <v>7.6666666666666661</v>
      </c>
      <c r="K50" s="7">
        <f t="shared" si="8"/>
        <v>0.25555222836070879</v>
      </c>
      <c r="L50" s="7">
        <f t="shared" si="8"/>
        <v>0.32866878742373729</v>
      </c>
      <c r="M50" s="7">
        <f t="shared" si="8"/>
        <v>0.37534262135303997</v>
      </c>
      <c r="N50" s="7">
        <f t="shared" si="8"/>
        <v>0.40999911646016152</v>
      </c>
      <c r="O50" s="7">
        <f t="shared" si="8"/>
        <v>0.5</v>
      </c>
      <c r="P50" s="7"/>
      <c r="Q50" s="8">
        <f t="shared" si="3"/>
        <v>7.6666666666666661</v>
      </c>
      <c r="R50" s="8">
        <f t="shared" si="4"/>
        <v>5.3922194170096159E-2</v>
      </c>
      <c r="S50" s="8">
        <f t="shared" si="5"/>
        <v>0.13897846407656003</v>
      </c>
      <c r="T50" s="8">
        <f>$M50*T$2*$AG$2/100</f>
        <v>0.30271442766126228</v>
      </c>
      <c r="U50" s="8">
        <f>$M50*U$2*$AG$2/100</f>
        <v>0.3946109519496096</v>
      </c>
      <c r="V50" s="8">
        <f>$M50*V$2*$AG$2/100</f>
        <v>0.48224326028242737</v>
      </c>
      <c r="W50" s="8">
        <f>$M50*W$2*$AG$2/100</f>
        <v>0.58933630944313442</v>
      </c>
      <c r="X50" s="8">
        <f>$M50*X$2*$AG$2/100</f>
        <v>0.72021179813823832</v>
      </c>
      <c r="Y50" s="8">
        <f>$M50*Y$2*$AG$2/100</f>
        <v>0.93885007551306554</v>
      </c>
      <c r="Z50" s="8">
        <f>$M50*Z$2*$AG$2/100</f>
        <v>1.147373547379098</v>
      </c>
      <c r="AA50" s="8">
        <f>$N50*AA$2*$AG$2/100</f>
        <v>1.5316407184223373</v>
      </c>
      <c r="AB50" s="8">
        <f>$N50*AB$2*$AG$2/100</f>
        <v>2.0028401051590983</v>
      </c>
      <c r="AC50" s="8">
        <f>$N50*AC$2*$AG$2/100</f>
        <v>2.1470447505320767</v>
      </c>
      <c r="AD50" s="8">
        <f t="shared" si="6"/>
        <v>4.9912446800000003</v>
      </c>
      <c r="AE50" s="8"/>
      <c r="AF50" s="8"/>
      <c r="AG50" s="7"/>
    </row>
    <row r="51" spans="1:33" x14ac:dyDescent="0.25">
      <c r="A51" s="7">
        <v>32.638888888888893</v>
      </c>
      <c r="B51" s="7">
        <v>7.4563057827566643</v>
      </c>
      <c r="C51" s="7">
        <v>9.9060475440281692</v>
      </c>
      <c r="D51" s="7">
        <v>11.268754694751285</v>
      </c>
      <c r="E51" s="7">
        <v>12.876998813300929</v>
      </c>
      <c r="F51" s="7">
        <v>20.400000000000006</v>
      </c>
      <c r="G51" s="7"/>
      <c r="H51" s="7"/>
      <c r="I51" s="7"/>
      <c r="J51" s="8">
        <f t="shared" si="1"/>
        <v>7.8333333333333348</v>
      </c>
      <c r="K51" s="7">
        <f t="shared" si="8"/>
        <v>0.26495663473663811</v>
      </c>
      <c r="L51" s="7">
        <f t="shared" si="8"/>
        <v>0.33981945443775885</v>
      </c>
      <c r="M51" s="7">
        <f t="shared" si="8"/>
        <v>0.38834922602508826</v>
      </c>
      <c r="N51" s="7">
        <f t="shared" si="8"/>
        <v>0.42242328843712507</v>
      </c>
      <c r="O51" s="7">
        <f t="shared" si="8"/>
        <v>0.5</v>
      </c>
      <c r="P51" s="7"/>
      <c r="Q51" s="8">
        <f t="shared" si="3"/>
        <v>7.8333333333333348</v>
      </c>
      <c r="R51" s="8">
        <f t="shared" si="4"/>
        <v>5.5906548718324081E-2</v>
      </c>
      <c r="S51" s="8">
        <f t="shared" si="5"/>
        <v>0.14369355304860748</v>
      </c>
      <c r="T51" s="8">
        <f>$M51*T$2*$AG$2/100</f>
        <v>0.31320427524351185</v>
      </c>
      <c r="U51" s="8">
        <f>$M51*U$2*$AG$2/100</f>
        <v>0.40828525473133837</v>
      </c>
      <c r="V51" s="8">
        <f>$M51*V$2*$AG$2/100</f>
        <v>0.49895425201484128</v>
      </c>
      <c r="W51" s="8">
        <f>$M51*W$2*$AG$2/100</f>
        <v>0.6097583557542593</v>
      </c>
      <c r="X51" s="8">
        <f>$M51*X$2*$AG$2/100</f>
        <v>0.74516902283273467</v>
      </c>
      <c r="Y51" s="8">
        <f>$M51*Y$2*$AG$2/100</f>
        <v>0.97138368902730443</v>
      </c>
      <c r="Z51" s="8">
        <f>$M51*Z$2*$AG$2/100</f>
        <v>1.1871330452163791</v>
      </c>
      <c r="AA51" s="8">
        <f>$N51*AA$2*$AG$2/100</f>
        <v>1.5780539103747842</v>
      </c>
      <c r="AB51" s="8">
        <f>$N51*AB$2*$AG$2/100</f>
        <v>2.0635320162141659</v>
      </c>
      <c r="AC51" s="8">
        <f>$N51*AC$2*$AG$2/100</f>
        <v>2.2121064839649565</v>
      </c>
      <c r="AD51" s="8">
        <f t="shared" si="6"/>
        <v>4.9912446800000003</v>
      </c>
      <c r="AE51" s="8"/>
      <c r="AF51" s="8"/>
      <c r="AG51" s="7"/>
    </row>
    <row r="52" spans="1:33" x14ac:dyDescent="0.25">
      <c r="A52" s="7">
        <v>33.333333333333329</v>
      </c>
      <c r="B52" s="7">
        <v>7.7314487285486591</v>
      </c>
      <c r="C52" s="7">
        <v>10.257904542474146</v>
      </c>
      <c r="D52" s="7">
        <v>11.67117565923345</v>
      </c>
      <c r="E52" s="7">
        <v>13.312771948664901</v>
      </c>
      <c r="F52" s="7">
        <v>21.000000000000007</v>
      </c>
      <c r="G52" s="7"/>
      <c r="H52" s="7"/>
      <c r="I52" s="7"/>
      <c r="J52" s="8">
        <f t="shared" si="1"/>
        <v>7.9999999999999991</v>
      </c>
      <c r="K52" s="7">
        <f t="shared" si="8"/>
        <v>0.27514294579199472</v>
      </c>
      <c r="L52" s="7">
        <f t="shared" si="8"/>
        <v>0.35185699844597629</v>
      </c>
      <c r="M52" s="7">
        <f t="shared" si="8"/>
        <v>0.40242096448216458</v>
      </c>
      <c r="N52" s="7">
        <f t="shared" si="8"/>
        <v>0.43577313536397178</v>
      </c>
      <c r="O52" s="7">
        <f t="shared" si="8"/>
        <v>0.60000000000000142</v>
      </c>
      <c r="P52" s="7"/>
      <c r="Q52" s="8">
        <f t="shared" si="3"/>
        <v>7.9999999999999991</v>
      </c>
      <c r="R52" s="8">
        <f t="shared" si="4"/>
        <v>5.8055887216083721E-2</v>
      </c>
      <c r="S52" s="8">
        <f t="shared" si="5"/>
        <v>0.14878366029800444</v>
      </c>
      <c r="T52" s="8">
        <f>$M52*T$2*$AG$2/100</f>
        <v>0.32455315493609072</v>
      </c>
      <c r="U52" s="8">
        <f>$M52*U$2*$AG$2/100</f>
        <v>0.42307937027333514</v>
      </c>
      <c r="V52" s="8">
        <f>$M52*V$2*$AG$2/100</f>
        <v>0.51703373631886151</v>
      </c>
      <c r="W52" s="8">
        <f>$M52*W$2*$AG$2/100</f>
        <v>0.63185279943839978</v>
      </c>
      <c r="X52" s="8">
        <f>$M52*X$2*$AG$2/100</f>
        <v>0.77217003865280998</v>
      </c>
      <c r="Y52" s="8">
        <f>$M52*Y$2*$AG$2/100</f>
        <v>1.0065815375034572</v>
      </c>
      <c r="Z52" s="8">
        <f>$M52*Z$2*$AG$2/100</f>
        <v>1.2301485184207939</v>
      </c>
      <c r="AA52" s="8">
        <f>$N52*AA$2*$AG$2/100</f>
        <v>1.6279251620847877</v>
      </c>
      <c r="AB52" s="8">
        <f>$N52*AB$2*$AG$2/100</f>
        <v>2.1287458368040002</v>
      </c>
      <c r="AC52" s="8">
        <f>$N52*AC$2*$AG$2/100</f>
        <v>2.2820157047753828</v>
      </c>
      <c r="AD52" s="8">
        <f t="shared" si="6"/>
        <v>5.989493616000015</v>
      </c>
      <c r="AE52" s="8"/>
      <c r="AF52" s="8"/>
      <c r="AG52" s="7"/>
    </row>
    <row r="53" spans="1:33" x14ac:dyDescent="0.25">
      <c r="A53" s="7">
        <v>34.027777777777779</v>
      </c>
      <c r="B53" s="7">
        <v>8.0176643266064485</v>
      </c>
      <c r="C53" s="7">
        <v>10.622800559474673</v>
      </c>
      <c r="D53" s="7">
        <v>12.088874885070657</v>
      </c>
      <c r="E53" s="7">
        <v>13.762933750963096</v>
      </c>
      <c r="F53" s="7">
        <v>21.600000000000009</v>
      </c>
      <c r="G53" s="7"/>
      <c r="H53" s="7"/>
      <c r="I53" s="7"/>
      <c r="J53" s="8">
        <f t="shared" si="1"/>
        <v>8.1666666666666679</v>
      </c>
      <c r="K53" s="7">
        <f t="shared" si="8"/>
        <v>0.2862155980577894</v>
      </c>
      <c r="L53" s="7">
        <f t="shared" si="8"/>
        <v>0.3648960170005271</v>
      </c>
      <c r="M53" s="7">
        <f t="shared" si="8"/>
        <v>0.41769922583720742</v>
      </c>
      <c r="N53" s="7">
        <f t="shared" si="8"/>
        <v>0.45016180229819547</v>
      </c>
      <c r="O53" s="7">
        <f t="shared" si="8"/>
        <v>0.60000000000000142</v>
      </c>
      <c r="P53" s="7"/>
      <c r="Q53" s="8">
        <f t="shared" si="3"/>
        <v>8.1666666666666679</v>
      </c>
      <c r="R53" s="8">
        <f t="shared" si="4"/>
        <v>6.0392246046856231E-2</v>
      </c>
      <c r="S53" s="8">
        <f t="shared" si="5"/>
        <v>0.15429724370208023</v>
      </c>
      <c r="T53" s="8">
        <f>$M53*T$2*$AG$2/100</f>
        <v>0.33687509728593334</v>
      </c>
      <c r="U53" s="8">
        <f>$M53*U$2*$AG$2/100</f>
        <v>0.439141945942773</v>
      </c>
      <c r="V53" s="8">
        <f>$M53*V$2*$AG$2/100</f>
        <v>0.53666337107961215</v>
      </c>
      <c r="W53" s="8">
        <f>$M53*W$2*$AG$2/100</f>
        <v>0.65584163963254227</v>
      </c>
      <c r="X53" s="8">
        <f>$M53*X$2*$AG$2/100</f>
        <v>0.80148614467688872</v>
      </c>
      <c r="Y53" s="8">
        <f>$M53*Y$2*$AG$2/100</f>
        <v>1.0447972796304315</v>
      </c>
      <c r="Z53" s="8">
        <f>$M53*Z$2*$AG$2/100</f>
        <v>1.2768521751105899</v>
      </c>
      <c r="AA53" s="8">
        <f>$N53*AA$2*$AG$2/100</f>
        <v>1.6816771514806368</v>
      </c>
      <c r="AB53" s="8">
        <f>$N53*AB$2*$AG$2/100</f>
        <v>2.1990342789949238</v>
      </c>
      <c r="AC53" s="8">
        <f>$N53*AC$2*$AG$2/100</f>
        <v>2.3573649203420004</v>
      </c>
      <c r="AD53" s="8">
        <f t="shared" si="6"/>
        <v>5.989493616000015</v>
      </c>
      <c r="AE53" s="8"/>
      <c r="AF53" s="8"/>
      <c r="AG53" s="7"/>
    </row>
    <row r="54" spans="1:33" x14ac:dyDescent="0.25">
      <c r="A54" s="7">
        <v>34.722222222222221</v>
      </c>
      <c r="B54" s="7">
        <v>8.3159630719117832</v>
      </c>
      <c r="C54" s="7">
        <v>11.001872705992993</v>
      </c>
      <c r="D54" s="7">
        <v>12.523226842283744</v>
      </c>
      <c r="E54" s="7">
        <v>14.228655870045092</v>
      </c>
      <c r="F54" s="7">
        <v>22.20000000000001</v>
      </c>
      <c r="G54" s="7"/>
      <c r="H54" s="7"/>
      <c r="I54" s="7"/>
      <c r="J54" s="8">
        <f t="shared" si="1"/>
        <v>8.3333333333333321</v>
      </c>
      <c r="K54" s="7">
        <f t="shared" si="8"/>
        <v>0.29829874530533473</v>
      </c>
      <c r="L54" s="7">
        <f t="shared" si="8"/>
        <v>0.37907214651832</v>
      </c>
      <c r="M54" s="7">
        <f t="shared" si="8"/>
        <v>0.43435195721308695</v>
      </c>
      <c r="N54" s="7">
        <f t="shared" si="8"/>
        <v>0.46572211908199534</v>
      </c>
      <c r="O54" s="7">
        <f t="shared" si="8"/>
        <v>0.60000000000000142</v>
      </c>
      <c r="P54" s="7"/>
      <c r="Q54" s="8">
        <f t="shared" si="3"/>
        <v>8.3333333333333321</v>
      </c>
      <c r="R54" s="8">
        <f t="shared" si="4"/>
        <v>6.2941821983828097E-2</v>
      </c>
      <c r="S54" s="8">
        <f t="shared" si="5"/>
        <v>0.16029165747765176</v>
      </c>
      <c r="T54" s="8">
        <f>$M54*T$2*$AG$2/100</f>
        <v>0.3503055519176887</v>
      </c>
      <c r="U54" s="8">
        <f>$M54*U$2*$AG$2/100</f>
        <v>0.45664955048048433</v>
      </c>
      <c r="V54" s="8">
        <f>$M54*V$2*$AG$2/100</f>
        <v>0.55805893612991886</v>
      </c>
      <c r="W54" s="8">
        <f>$M54*W$2*$AG$2/100</f>
        <v>0.68198857497346055</v>
      </c>
      <c r="X54" s="8">
        <f>$M54*X$2*$AG$2/100</f>
        <v>0.83343959980250437</v>
      </c>
      <c r="Y54" s="8">
        <f>$M54*Y$2*$AG$2/100</f>
        <v>1.0864510040419679</v>
      </c>
      <c r="Z54" s="8">
        <f>$M54*Z$2*$AG$2/100</f>
        <v>1.3277574077841863</v>
      </c>
      <c r="AA54" s="8">
        <f>$N54*AA$2*$AG$2/100</f>
        <v>1.7398060932778421</v>
      </c>
      <c r="AB54" s="8">
        <f>$N54*AB$2*$AG$2/100</f>
        <v>2.2750462147586994</v>
      </c>
      <c r="AC54" s="8">
        <f>$N54*AC$2*$AG$2/100</f>
        <v>2.4388497214696629</v>
      </c>
      <c r="AD54" s="8">
        <f t="shared" si="6"/>
        <v>5.989493616000015</v>
      </c>
      <c r="AE54" s="8"/>
      <c r="AF54" s="8"/>
      <c r="AG54" s="7"/>
    </row>
    <row r="55" spans="1:33" x14ac:dyDescent="0.25">
      <c r="A55" s="7">
        <v>35.416666666666671</v>
      </c>
      <c r="B55" s="7">
        <v>8.6275042099588237</v>
      </c>
      <c r="C55" s="7">
        <v>11.396419872986977</v>
      </c>
      <c r="D55" s="7">
        <v>12.975807089386333</v>
      </c>
      <c r="E55" s="7">
        <v>14.711267004690809</v>
      </c>
      <c r="F55" s="7">
        <v>22.800000000000011</v>
      </c>
      <c r="G55" s="7"/>
      <c r="H55" s="7"/>
      <c r="I55" s="7"/>
      <c r="J55" s="8">
        <f t="shared" si="1"/>
        <v>8.5000000000000018</v>
      </c>
      <c r="K55" s="7">
        <f t="shared" si="8"/>
        <v>0.31154113804704053</v>
      </c>
      <c r="L55" s="7">
        <f t="shared" si="8"/>
        <v>0.39454716699398418</v>
      </c>
      <c r="M55" s="7">
        <f t="shared" si="8"/>
        <v>0.45258024710258837</v>
      </c>
      <c r="N55" s="7">
        <f t="shared" si="8"/>
        <v>0.48261113464571714</v>
      </c>
      <c r="O55" s="7">
        <f t="shared" si="8"/>
        <v>0.60000000000000142</v>
      </c>
      <c r="P55" s="7"/>
      <c r="Q55" s="8">
        <f t="shared" si="3"/>
        <v>8.5000000000000018</v>
      </c>
      <c r="R55" s="8">
        <f t="shared" si="4"/>
        <v>6.5736001777428055E-2</v>
      </c>
      <c r="S55" s="8">
        <f t="shared" si="5"/>
        <v>0.16683531072236446</v>
      </c>
      <c r="T55" s="8">
        <f>$M55*T$2*$AG$2/100</f>
        <v>0.36500669702413241</v>
      </c>
      <c r="U55" s="8">
        <f>$M55*U$2*$AG$2/100</f>
        <v>0.47581359531978312</v>
      </c>
      <c r="V55" s="8">
        <f>$M55*V$2*$AG$2/100</f>
        <v>0.58147879160489357</v>
      </c>
      <c r="W55" s="8">
        <f>$M55*W$2*$AG$2/100</f>
        <v>0.71060934032169987</v>
      </c>
      <c r="X55" s="8">
        <f>$M55*X$2*$AG$2/100</f>
        <v>0.86841625497419261</v>
      </c>
      <c r="Y55" s="8">
        <f>$M55*Y$2*$AG$2/100</f>
        <v>1.1320456963727805</v>
      </c>
      <c r="Z55" s="8">
        <f>$M55*Z$2*$AG$2/100</f>
        <v>1.3834789177949023</v>
      </c>
      <c r="AA55" s="8">
        <f>$N55*AA$2*$AG$2/100</f>
        <v>1.8028986778541272</v>
      </c>
      <c r="AB55" s="8">
        <f>$N55*AB$2*$AG$2/100</f>
        <v>2.3575488259831432</v>
      </c>
      <c r="AC55" s="8">
        <f>$N55*AC$2*$AG$2/100</f>
        <v>2.527292527202555</v>
      </c>
      <c r="AD55" s="8">
        <f t="shared" si="6"/>
        <v>5.989493616000015</v>
      </c>
      <c r="AE55" s="8"/>
      <c r="AF55" s="8"/>
      <c r="AG55" s="7"/>
    </row>
    <row r="56" spans="1:33" x14ac:dyDescent="0.25">
      <c r="A56" s="7">
        <v>36.111111111111107</v>
      </c>
      <c r="B56" s="7">
        <v>8.9536268322512633</v>
      </c>
      <c r="C56" s="7">
        <v>11.807935584864488</v>
      </c>
      <c r="D56" s="7">
        <v>13.448434063482498</v>
      </c>
      <c r="E56" s="7">
        <v>15.212282980236946</v>
      </c>
      <c r="F56" s="7">
        <v>23.400000000000013</v>
      </c>
      <c r="G56" s="7"/>
      <c r="H56" s="7"/>
      <c r="I56" s="7"/>
      <c r="J56" s="8">
        <f t="shared" si="1"/>
        <v>8.6666666666666643</v>
      </c>
      <c r="K56" s="7">
        <f t="shared" si="8"/>
        <v>0.3261226222924396</v>
      </c>
      <c r="L56" s="7">
        <f t="shared" si="8"/>
        <v>0.41151571187751124</v>
      </c>
      <c r="M56" s="7">
        <f t="shared" si="8"/>
        <v>0.4726269740961655</v>
      </c>
      <c r="N56" s="7">
        <f t="shared" si="8"/>
        <v>0.50101597554613697</v>
      </c>
      <c r="O56" s="7">
        <f t="shared" si="8"/>
        <v>0.60000000000000142</v>
      </c>
      <c r="P56" s="7"/>
      <c r="Q56" s="8">
        <f t="shared" si="3"/>
        <v>8.6666666666666643</v>
      </c>
      <c r="R56" s="8">
        <f t="shared" si="4"/>
        <v>6.8812733409988114E-2</v>
      </c>
      <c r="S56" s="8">
        <f t="shared" si="5"/>
        <v>0.17401050470415977</v>
      </c>
      <c r="T56" s="8">
        <f>$M56*T$2*$AG$2/100</f>
        <v>0.38117441457900719</v>
      </c>
      <c r="U56" s="8">
        <f>$M56*U$2*$AG$2/100</f>
        <v>0.49688942729935676</v>
      </c>
      <c r="V56" s="8">
        <f>$M56*V$2*$AG$2/100</f>
        <v>0.60723498989786984</v>
      </c>
      <c r="W56" s="8">
        <f>$M56*W$2*$AG$2/100</f>
        <v>0.74208528637925286</v>
      </c>
      <c r="X56" s="8">
        <f>$M56*X$2*$AG$2/100</f>
        <v>0.90688214846314597</v>
      </c>
      <c r="Y56" s="8">
        <f>$M56*Y$2*$AG$2/100</f>
        <v>1.1821888724497844</v>
      </c>
      <c r="Z56" s="8">
        <f>$M56*Z$2*$AG$2/100</f>
        <v>1.4447591533861768</v>
      </c>
      <c r="AA56" s="8">
        <f>$N56*AA$2*$AG$2/100</f>
        <v>1.8716539570911912</v>
      </c>
      <c r="AB56" s="8">
        <f>$N56*AB$2*$AG$2/100</f>
        <v>2.4474562233519257</v>
      </c>
      <c r="AC56" s="8">
        <f>$N56*AC$2*$AG$2/100</f>
        <v>2.6236732642655927</v>
      </c>
      <c r="AD56" s="8">
        <f t="shared" si="6"/>
        <v>5.989493616000015</v>
      </c>
      <c r="AE56" s="8"/>
      <c r="AF56" s="8"/>
      <c r="AG56" s="7"/>
    </row>
    <row r="57" spans="1:33" x14ac:dyDescent="0.25">
      <c r="A57" s="7">
        <v>36.805555555555557</v>
      </c>
      <c r="B57" s="7">
        <v>9.2958895498676242</v>
      </c>
      <c r="C57" s="7">
        <v>12.238149724727428</v>
      </c>
      <c r="D57" s="7">
        <v>13.943222382407091</v>
      </c>
      <c r="E57" s="7">
        <v>15.733444485152152</v>
      </c>
      <c r="F57" s="7">
        <v>24.000000000000014</v>
      </c>
      <c r="G57" s="7"/>
      <c r="H57" s="7"/>
      <c r="I57" s="7"/>
      <c r="J57" s="8">
        <f t="shared" si="1"/>
        <v>8.8333333333333339</v>
      </c>
      <c r="K57" s="7">
        <f t="shared" si="8"/>
        <v>0.34226271761636085</v>
      </c>
      <c r="L57" s="7">
        <f t="shared" si="8"/>
        <v>0.43021413986294021</v>
      </c>
      <c r="M57" s="7">
        <f t="shared" si="8"/>
        <v>0.49478831892459318</v>
      </c>
      <c r="N57" s="7">
        <f t="shared" si="8"/>
        <v>0.52116150491520585</v>
      </c>
      <c r="O57" s="7">
        <f t="shared" si="8"/>
        <v>0.60000000000000142</v>
      </c>
      <c r="P57" s="7"/>
      <c r="Q57" s="8">
        <f t="shared" si="3"/>
        <v>8.8333333333333339</v>
      </c>
      <c r="R57" s="8">
        <f t="shared" si="4"/>
        <v>7.2218336090751734E-2</v>
      </c>
      <c r="S57" s="8">
        <f t="shared" si="5"/>
        <v>0.18191718432053214</v>
      </c>
      <c r="T57" s="8">
        <f>$M57*T$2*$AG$2/100</f>
        <v>0.39904757481793302</v>
      </c>
      <c r="U57" s="8">
        <f>$M57*U$2*$AG$2/100</f>
        <v>0.52018843168022066</v>
      </c>
      <c r="V57" s="8">
        <f>$M57*V$2*$AG$2/100</f>
        <v>0.635708066426666</v>
      </c>
      <c r="W57" s="8">
        <f>$M57*W$2*$AG$2/100</f>
        <v>0.77688145508080253</v>
      </c>
      <c r="X57" s="8">
        <f>$M57*X$2*$AG$2/100</f>
        <v>0.94940559530887714</v>
      </c>
      <c r="Y57" s="8">
        <f>$M57*Y$2*$AG$2/100</f>
        <v>1.2376213735354273</v>
      </c>
      <c r="Z57" s="8">
        <f>$M57*Z$2*$AG$2/100</f>
        <v>1.5125035005078111</v>
      </c>
      <c r="AA57" s="8">
        <f>$N57*AA$2*$AG$2/100</f>
        <v>1.9469119560406525</v>
      </c>
      <c r="AB57" s="8">
        <f>$N57*AB$2*$AG$2/100</f>
        <v>2.5458668602049737</v>
      </c>
      <c r="AC57" s="8">
        <f>$N57*AC$2*$AG$2/100</f>
        <v>2.7291694747257242</v>
      </c>
      <c r="AD57" s="8">
        <f t="shared" si="6"/>
        <v>5.989493616000015</v>
      </c>
      <c r="AE57" s="8"/>
      <c r="AF57" s="8"/>
      <c r="AG57" s="7"/>
    </row>
    <row r="58" spans="1:33" x14ac:dyDescent="0.25">
      <c r="A58" s="7">
        <v>37.5</v>
      </c>
      <c r="B58" s="7">
        <v>9.6561218604404413</v>
      </c>
      <c r="C58" s="7">
        <v>12.689082224238661</v>
      </c>
      <c r="D58" s="7">
        <v>14.462651692775101</v>
      </c>
      <c r="E58" s="7">
        <v>16.276764951216453</v>
      </c>
      <c r="F58" s="7">
        <v>24.600000000000016</v>
      </c>
      <c r="G58" s="7"/>
      <c r="H58" s="7"/>
      <c r="I58" s="7"/>
      <c r="J58" s="8">
        <f t="shared" si="1"/>
        <v>9</v>
      </c>
      <c r="K58" s="7">
        <f t="shared" si="8"/>
        <v>0.36023231057281713</v>
      </c>
      <c r="L58" s="7">
        <f t="shared" si="8"/>
        <v>0.45093249951123227</v>
      </c>
      <c r="M58" s="7">
        <f t="shared" si="8"/>
        <v>0.51942931036800921</v>
      </c>
      <c r="N58" s="7">
        <f t="shared" si="8"/>
        <v>0.5433204660643014</v>
      </c>
      <c r="O58" s="7">
        <f t="shared" si="8"/>
        <v>0.60000000000000142</v>
      </c>
      <c r="P58" s="7"/>
      <c r="Q58" s="8">
        <f t="shared" si="3"/>
        <v>9</v>
      </c>
      <c r="R58" s="8">
        <f t="shared" si="4"/>
        <v>7.600996759704387E-2</v>
      </c>
      <c r="S58" s="8">
        <f t="shared" si="5"/>
        <v>0.19067799737088462</v>
      </c>
      <c r="T58" s="8">
        <f>$M58*T$2*$AG$2/100</f>
        <v>0.4189205740390467</v>
      </c>
      <c r="U58" s="8">
        <f>$M58*U$2*$AG$2/100</f>
        <v>0.54609437610885181</v>
      </c>
      <c r="V58" s="8">
        <f>$M58*V$2*$AG$2/100</f>
        <v>0.66736701314427704</v>
      </c>
      <c r="W58" s="8">
        <f>$M58*W$2*$AG$2/100</f>
        <v>0.81557098867529321</v>
      </c>
      <c r="X58" s="8">
        <f>$M58*X$2*$AG$2/100</f>
        <v>0.99668701699074735</v>
      </c>
      <c r="Y58" s="8">
        <f>$M58*Y$2*$AG$2/100</f>
        <v>1.2992562515409505</v>
      </c>
      <c r="Z58" s="8">
        <f>$M58*Z$2*$AG$2/100</f>
        <v>1.5878278046368053</v>
      </c>
      <c r="AA58" s="8">
        <f>$N58*AA$2*$AG$2/100</f>
        <v>2.0296915665601087</v>
      </c>
      <c r="AB58" s="8">
        <f>$N58*AB$2*$AG$2/100</f>
        <v>2.6541130839072222</v>
      </c>
      <c r="AC58" s="8">
        <f>$N58*AC$2*$AG$2/100</f>
        <v>2.8452094350631323</v>
      </c>
      <c r="AD58" s="8">
        <f t="shared" si="6"/>
        <v>5.989493616000015</v>
      </c>
      <c r="AE58" s="8"/>
      <c r="AF58" s="8"/>
      <c r="AG58" s="7"/>
    </row>
    <row r="59" spans="1:33" x14ac:dyDescent="0.25">
      <c r="A59" s="7">
        <v>38.194444444444443</v>
      </c>
      <c r="B59" s="7">
        <v>10.036491544675831</v>
      </c>
      <c r="C59" s="7">
        <v>13.163113083509066</v>
      </c>
      <c r="D59" s="7">
        <v>15.009656848507689</v>
      </c>
      <c r="E59" s="7">
        <v>16.84459205976809</v>
      </c>
      <c r="F59" s="7">
        <v>25.200000000000017</v>
      </c>
      <c r="G59" s="7"/>
      <c r="H59" s="7"/>
      <c r="I59" s="7"/>
      <c r="J59" s="8">
        <f t="shared" si="1"/>
        <v>9.1666666666666661</v>
      </c>
      <c r="K59" s="7">
        <f t="shared" si="8"/>
        <v>0.38036968423539008</v>
      </c>
      <c r="L59" s="7">
        <f t="shared" si="8"/>
        <v>0.474030859270405</v>
      </c>
      <c r="M59" s="7">
        <f t="shared" si="8"/>
        <v>0.54700515573258812</v>
      </c>
      <c r="N59" s="7">
        <f t="shared" si="8"/>
        <v>0.56782710855163643</v>
      </c>
      <c r="O59" s="7">
        <f t="shared" si="8"/>
        <v>0.60000000000000142</v>
      </c>
      <c r="P59" s="7"/>
      <c r="Q59" s="8">
        <f t="shared" si="3"/>
        <v>9.1666666666666661</v>
      </c>
      <c r="R59" s="8">
        <f t="shared" si="4"/>
        <v>8.0259006549568176E-2</v>
      </c>
      <c r="S59" s="8">
        <f t="shared" si="5"/>
        <v>0.20044519974863559</v>
      </c>
      <c r="T59" s="8">
        <f>$M59*T$2*$AG$2/100</f>
        <v>0.44116053766673824</v>
      </c>
      <c r="U59" s="8">
        <f>$M59*U$2*$AG$2/100</f>
        <v>0.57508583610053909</v>
      </c>
      <c r="V59" s="8">
        <f>$M59*V$2*$AG$2/100</f>
        <v>0.70279668410922325</v>
      </c>
      <c r="W59" s="8">
        <f>$M59*W$2*$AG$2/100</f>
        <v>0.85886862132450337</v>
      </c>
      <c r="X59" s="8">
        <f>$M59*X$2*$AG$2/100</f>
        <v>1.0495998705953078</v>
      </c>
      <c r="Y59" s="8">
        <f>$M59*Y$2*$AG$2/100</f>
        <v>1.3682321232646157</v>
      </c>
      <c r="Z59" s="8">
        <f>$M59*Z$2*$AG$2/100</f>
        <v>1.6721235752686585</v>
      </c>
      <c r="AA59" s="8">
        <f>$N59*AA$2*$AG$2/100</f>
        <v>2.1212414504464281</v>
      </c>
      <c r="AB59" s="8">
        <f>$N59*AB$2*$AG$2/100</f>
        <v>2.7738276990024957</v>
      </c>
      <c r="AC59" s="8">
        <f>$N59*AC$2*$AG$2/100</f>
        <v>2.973543511877446</v>
      </c>
      <c r="AD59" s="8">
        <f t="shared" si="6"/>
        <v>5.989493616000015</v>
      </c>
      <c r="AE59" s="8"/>
      <c r="AF59" s="8"/>
      <c r="AG59" s="7"/>
    </row>
    <row r="60" spans="1:33" x14ac:dyDescent="0.25">
      <c r="A60" s="7">
        <v>38.888888888888893</v>
      </c>
      <c r="B60" s="7">
        <v>10.43959455132206</v>
      </c>
      <c r="C60" s="7">
        <v>13.663075145278764</v>
      </c>
      <c r="D60" s="7">
        <v>15.587747879445365</v>
      </c>
      <c r="E60" s="7">
        <v>17.43968784229973</v>
      </c>
      <c r="F60" s="7">
        <v>25.900000000000016</v>
      </c>
      <c r="G60" s="7"/>
      <c r="H60" s="7"/>
      <c r="I60" s="7"/>
      <c r="J60" s="8">
        <f t="shared" si="1"/>
        <v>9.3333333333333357</v>
      </c>
      <c r="K60" s="7">
        <f t="shared" si="8"/>
        <v>0.40310300664622822</v>
      </c>
      <c r="L60" s="7">
        <f t="shared" si="8"/>
        <v>0.49996206176969871</v>
      </c>
      <c r="M60" s="7">
        <f t="shared" si="8"/>
        <v>0.57809103093767611</v>
      </c>
      <c r="N60" s="7">
        <f t="shared" si="8"/>
        <v>0.59509578253164008</v>
      </c>
      <c r="O60" s="7">
        <f t="shared" si="8"/>
        <v>0.69999999999999929</v>
      </c>
      <c r="P60" s="7"/>
      <c r="Q60" s="8">
        <f t="shared" si="3"/>
        <v>9.3333333333333357</v>
      </c>
      <c r="R60" s="8">
        <f t="shared" si="4"/>
        <v>8.5055797534455871E-2</v>
      </c>
      <c r="S60" s="8">
        <f t="shared" si="5"/>
        <v>0.21141027715455238</v>
      </c>
      <c r="T60" s="8">
        <f>$M60*T$2*$AG$2/100</f>
        <v>0.4662313460048263</v>
      </c>
      <c r="U60" s="8">
        <f>$M60*U$2*$AG$2/100</f>
        <v>0.60776751440993793</v>
      </c>
      <c r="V60" s="8">
        <f>$M60*V$2*$AG$2/100</f>
        <v>0.74273607003239595</v>
      </c>
      <c r="W60" s="8">
        <f>$M60*W$2*$AG$2/100</f>
        <v>0.907677453380762</v>
      </c>
      <c r="X60" s="8">
        <f>$M60*X$2*$AG$2/100</f>
        <v>1.1092478103828309</v>
      </c>
      <c r="Y60" s="8">
        <f>$M60*Y$2*$AG$2/100</f>
        <v>1.4459876847792665</v>
      </c>
      <c r="Z60" s="8">
        <f>$M60*Z$2*$AG$2/100</f>
        <v>1.7671490503369376</v>
      </c>
      <c r="AA60" s="8">
        <f>$N60*AA$2*$AG$2/100</f>
        <v>2.2231095026650611</v>
      </c>
      <c r="AB60" s="8">
        <f>$N60*AB$2*$AG$2/100</f>
        <v>2.9070348003572293</v>
      </c>
      <c r="AC60" s="8">
        <f>$N60*AC$2*$AG$2/100</f>
        <v>3.1163415350249579</v>
      </c>
      <c r="AD60" s="8">
        <f t="shared" si="6"/>
        <v>6.9877425519999932</v>
      </c>
      <c r="AE60" s="8"/>
      <c r="AF60" s="8"/>
      <c r="AG60" s="7"/>
    </row>
    <row r="61" spans="1:33" x14ac:dyDescent="0.25">
      <c r="A61" s="7">
        <v>39.583333333333329</v>
      </c>
      <c r="B61" s="7">
        <v>10.868577028158795</v>
      </c>
      <c r="C61" s="7">
        <v>14.192379165807372</v>
      </c>
      <c r="D61" s="7">
        <v>16.201172395580073</v>
      </c>
      <c r="E61" s="7">
        <v>18.065334605691742</v>
      </c>
      <c r="F61" s="7">
        <v>26.600000000000016</v>
      </c>
      <c r="G61" s="7"/>
      <c r="H61" s="7"/>
      <c r="I61" s="7"/>
      <c r="J61" s="8">
        <f t="shared" si="1"/>
        <v>9.4999999999999982</v>
      </c>
      <c r="K61" s="7">
        <f t="shared" si="8"/>
        <v>0.42898247683673496</v>
      </c>
      <c r="L61" s="7">
        <f t="shared" si="8"/>
        <v>0.52930402052860792</v>
      </c>
      <c r="M61" s="7">
        <f t="shared" si="8"/>
        <v>0.6134245161347085</v>
      </c>
      <c r="N61" s="7">
        <f t="shared" si="8"/>
        <v>0.62564676339201242</v>
      </c>
      <c r="O61" s="7">
        <f t="shared" si="8"/>
        <v>0.69999999999999929</v>
      </c>
      <c r="P61" s="7"/>
      <c r="Q61" s="8">
        <f t="shared" si="3"/>
        <v>9.4999999999999982</v>
      </c>
      <c r="R61" s="8">
        <f t="shared" si="4"/>
        <v>9.0516433998411985E-2</v>
      </c>
      <c r="S61" s="8">
        <f t="shared" si="5"/>
        <v>0.22381760184539234</v>
      </c>
      <c r="T61" s="8">
        <f>$M61*T$2*$AG$2/100</f>
        <v>0.49472785863145113</v>
      </c>
      <c r="U61" s="8">
        <f>$M61*U$2*$AG$2/100</f>
        <v>0.64491485509572688</v>
      </c>
      <c r="V61" s="8">
        <f>$M61*V$2*$AG$2/100</f>
        <v>0.78813281990624218</v>
      </c>
      <c r="W61" s="8">
        <f>$M61*W$2*$AG$2/100</f>
        <v>0.96315558077998598</v>
      </c>
      <c r="X61" s="8">
        <f>$M61*X$2*$AG$2/100</f>
        <v>1.1770461137476653</v>
      </c>
      <c r="Y61" s="8">
        <f>$M61*Y$2*$AG$2/100</f>
        <v>1.5343678562764222</v>
      </c>
      <c r="Z61" s="8">
        <f>$M61*Z$2*$AG$2/100</f>
        <v>1.8751589163778477</v>
      </c>
      <c r="AA61" s="8">
        <f>$N61*AA$2*$AG$2/100</f>
        <v>2.3372393248887988</v>
      </c>
      <c r="AB61" s="8">
        <f>$N61*AB$2*$AG$2/100</f>
        <v>3.0562759261610868</v>
      </c>
      <c r="AC61" s="8">
        <f>$N61*AC$2*$AG$2/100</f>
        <v>3.2763280336452345</v>
      </c>
      <c r="AD61" s="8">
        <f t="shared" si="6"/>
        <v>6.9877425519999932</v>
      </c>
      <c r="AE61" s="8"/>
      <c r="AF61" s="8"/>
      <c r="AG61" s="7"/>
    </row>
    <row r="62" spans="1:33" x14ac:dyDescent="0.25">
      <c r="A62" s="7">
        <v>40.277777777777779</v>
      </c>
      <c r="B62" s="7">
        <v>11.327304420063953</v>
      </c>
      <c r="C62" s="7">
        <v>14.755185791641221</v>
      </c>
      <c r="D62" s="7">
        <v>16.855139799435541</v>
      </c>
      <c r="E62" s="7">
        <v>18.725477426052393</v>
      </c>
      <c r="F62" s="7">
        <v>27.300000000000015</v>
      </c>
      <c r="G62" s="7"/>
      <c r="H62" s="7"/>
      <c r="I62" s="7"/>
      <c r="J62" s="8">
        <f t="shared" si="1"/>
        <v>9.6666666666666679</v>
      </c>
      <c r="K62" s="7">
        <f t="shared" si="8"/>
        <v>0.45872739190515865</v>
      </c>
      <c r="L62" s="7">
        <f t="shared" si="8"/>
        <v>0.56280662583384888</v>
      </c>
      <c r="M62" s="7">
        <f t="shared" si="8"/>
        <v>0.65396740385546792</v>
      </c>
      <c r="N62" s="7">
        <f t="shared" si="8"/>
        <v>0.66014282036065097</v>
      </c>
      <c r="O62" s="7">
        <f t="shared" si="8"/>
        <v>0.69999999999999929</v>
      </c>
      <c r="P62" s="7"/>
      <c r="Q62" s="8">
        <f t="shared" si="3"/>
        <v>9.6666666666666679</v>
      </c>
      <c r="R62" s="8">
        <f t="shared" si="4"/>
        <v>9.6792689526220013E-2</v>
      </c>
      <c r="S62" s="8">
        <f t="shared" si="5"/>
        <v>0.23798426690775698</v>
      </c>
      <c r="T62" s="8">
        <f>$M62*T$2*$AG$2/100</f>
        <v>0.52742576277002973</v>
      </c>
      <c r="U62" s="8">
        <f>$M62*U$2*$AG$2/100</f>
        <v>0.68753902460944416</v>
      </c>
      <c r="V62" s="8">
        <f>$M62*V$2*$AG$2/100</f>
        <v>0.84022265261760287</v>
      </c>
      <c r="W62" s="8">
        <f>$M62*W$2*$AG$2/100</f>
        <v>1.0268131418035342</v>
      </c>
      <c r="X62" s="8">
        <f>$M62*X$2*$AG$2/100</f>
        <v>1.2548402794137608</v>
      </c>
      <c r="Y62" s="8">
        <f>$M62*Y$2*$AG$2/100</f>
        <v>1.6357783837058417</v>
      </c>
      <c r="Z62" s="8">
        <f>$M62*Z$2*$AG$2/100</f>
        <v>1.9990932479959094</v>
      </c>
      <c r="AA62" s="8">
        <f>$N62*AA$2*$AG$2/100</f>
        <v>2.4661068354687083</v>
      </c>
      <c r="AB62" s="8">
        <f>$N62*AB$2*$AG$2/100</f>
        <v>3.2247886950742259</v>
      </c>
      <c r="AC62" s="8">
        <f>$N62*AC$2*$AG$2/100</f>
        <v>3.4569737351970518</v>
      </c>
      <c r="AD62" s="8">
        <f t="shared" si="6"/>
        <v>6.9877425519999932</v>
      </c>
      <c r="AE62" s="8"/>
      <c r="AF62" s="8"/>
      <c r="AG62" s="7"/>
    </row>
    <row r="63" spans="1:33" x14ac:dyDescent="0.25">
      <c r="A63" s="7">
        <v>40.972222222222221</v>
      </c>
      <c r="B63" s="7">
        <v>11.820601267315576</v>
      </c>
      <c r="C63" s="7">
        <v>15.35664742611913</v>
      </c>
      <c r="D63" s="7">
        <v>17.556137819257415</v>
      </c>
      <c r="E63" s="7">
        <v>19.424919586391869</v>
      </c>
      <c r="F63" s="7">
        <v>28.000000000000014</v>
      </c>
      <c r="G63" s="7"/>
      <c r="H63" s="7"/>
      <c r="I63" s="7"/>
      <c r="J63" s="8">
        <f t="shared" si="1"/>
        <v>9.8333333333333321</v>
      </c>
      <c r="K63" s="7">
        <f t="shared" si="8"/>
        <v>0.49329684725162259</v>
      </c>
      <c r="L63" s="7">
        <f t="shared" si="8"/>
        <v>0.6014616344779089</v>
      </c>
      <c r="M63" s="7">
        <f t="shared" si="8"/>
        <v>0.70099801982187415</v>
      </c>
      <c r="N63" s="7">
        <f t="shared" si="8"/>
        <v>0.69944216033947626</v>
      </c>
      <c r="O63" s="7">
        <f t="shared" si="8"/>
        <v>0.69999999999999929</v>
      </c>
      <c r="P63" s="7"/>
      <c r="Q63" s="8">
        <f t="shared" si="3"/>
        <v>9.8333333333333321</v>
      </c>
      <c r="R63" s="8">
        <f t="shared" si="4"/>
        <v>0.10408693577679623</v>
      </c>
      <c r="S63" s="8">
        <f t="shared" si="5"/>
        <v>0.25432963931846742</v>
      </c>
      <c r="T63" s="8">
        <f>$M63*T$2*$AG$2/100</f>
        <v>0.56535603017080105</v>
      </c>
      <c r="U63" s="8">
        <f>$M63*U$2*$AG$2/100</f>
        <v>0.73698397192285892</v>
      </c>
      <c r="V63" s="8">
        <f>$M63*V$2*$AG$2/100</f>
        <v>0.9006479714768697</v>
      </c>
      <c r="W63" s="8">
        <f>$M63*W$2*$AG$2/100</f>
        <v>1.1006572726527439</v>
      </c>
      <c r="X63" s="8">
        <f>$M63*X$2*$AG$2/100</f>
        <v>1.3450831736809028</v>
      </c>
      <c r="Y63" s="8">
        <f>$M63*Y$2*$AG$2/100</f>
        <v>1.7534167621887251</v>
      </c>
      <c r="Z63" s="8">
        <f>$M63*Z$2*$AG$2/100</f>
        <v>2.1428597205650988</v>
      </c>
      <c r="AA63" s="8">
        <f>$N63*AA$2*$AG$2/100</f>
        <v>2.6129180526205396</v>
      </c>
      <c r="AB63" s="8">
        <f>$N63*AB$2*$AG$2/100</f>
        <v>3.4167654361351345</v>
      </c>
      <c r="AC63" s="8">
        <f>$N63*AC$2*$AG$2/100</f>
        <v>3.6627728167399773</v>
      </c>
      <c r="AD63" s="8">
        <f t="shared" si="6"/>
        <v>6.9877425519999932</v>
      </c>
      <c r="AE63" s="8"/>
      <c r="AF63" s="8"/>
      <c r="AG63" s="7"/>
    </row>
    <row r="64" spans="1:33" x14ac:dyDescent="0.25">
      <c r="A64" s="7">
        <v>41.666666666666671</v>
      </c>
      <c r="B64" s="7">
        <v>12.35460050829521</v>
      </c>
      <c r="C64" s="7">
        <v>16.003257343655957</v>
      </c>
      <c r="D64" s="7">
        <v>18.3123909639665</v>
      </c>
      <c r="E64" s="7">
        <v>20.169596597854511</v>
      </c>
      <c r="F64" s="7">
        <v>28.800000000000015</v>
      </c>
      <c r="G64" s="7"/>
      <c r="H64" s="7"/>
      <c r="I64" s="7"/>
      <c r="J64" s="8">
        <f t="shared" si="1"/>
        <v>10.000000000000002</v>
      </c>
      <c r="K64" s="7">
        <f t="shared" si="8"/>
        <v>0.53399924097963414</v>
      </c>
      <c r="L64" s="7">
        <f t="shared" si="8"/>
        <v>0.64660991753682673</v>
      </c>
      <c r="M64" s="7">
        <f t="shared" si="8"/>
        <v>0.75625314470908478</v>
      </c>
      <c r="N64" s="7">
        <f t="shared" si="8"/>
        <v>0.74467701146264176</v>
      </c>
      <c r="O64" s="7">
        <f t="shared" si="8"/>
        <v>0.80000000000000071</v>
      </c>
      <c r="P64" s="7"/>
      <c r="Q64" s="8">
        <f t="shared" si="3"/>
        <v>10.000000000000002</v>
      </c>
      <c r="R64" s="8">
        <f t="shared" si="4"/>
        <v>0.11267524820071163</v>
      </c>
      <c r="S64" s="8">
        <f t="shared" si="5"/>
        <v>0.27342070995041207</v>
      </c>
      <c r="T64" s="8">
        <f>$M64*T$2*$AG$2/100</f>
        <v>0.60991937724097278</v>
      </c>
      <c r="U64" s="8">
        <f>$M64*U$2*$AG$2/100</f>
        <v>0.79507563588906782</v>
      </c>
      <c r="V64" s="8">
        <f>$M64*V$2*$AG$2/100</f>
        <v>0.97164020645638205</v>
      </c>
      <c r="W64" s="8">
        <f>$M64*W$2*$AG$2/100</f>
        <v>1.1874149429153471</v>
      </c>
      <c r="X64" s="8">
        <f>$M64*X$2*$AG$2/100</f>
        <v>1.4511073515584803</v>
      </c>
      <c r="Y64" s="8">
        <f>$M64*Y$2*$AG$2/100</f>
        <v>1.8916272270323853</v>
      </c>
      <c r="Z64" s="8">
        <f>$M64*Z$2*$AG$2/100</f>
        <v>2.3117674465893243</v>
      </c>
      <c r="AA64" s="8">
        <f>$N64*AA$2*$AG$2/100</f>
        <v>2.7819026603684565</v>
      </c>
      <c r="AB64" s="8">
        <f>$N64*AB$2*$AG$2/100</f>
        <v>3.6377370683732249</v>
      </c>
      <c r="AC64" s="8">
        <f>$N64*AC$2*$AG$2/100</f>
        <v>3.8996544239093174</v>
      </c>
      <c r="AD64" s="8">
        <f t="shared" si="6"/>
        <v>7.9859914880000069</v>
      </c>
      <c r="AE64" s="8"/>
      <c r="AF64" s="8"/>
      <c r="AG64" s="7"/>
    </row>
    <row r="65" spans="1:33" x14ac:dyDescent="0.25">
      <c r="A65" s="7">
        <v>42.361111111111107</v>
      </c>
      <c r="B65" s="7">
        <v>12.937268386259197</v>
      </c>
      <c r="C65" s="7">
        <v>16.703369088862967</v>
      </c>
      <c r="D65" s="7">
        <v>19.134544511493175</v>
      </c>
      <c r="E65" s="7">
        <v>20.96697024928508</v>
      </c>
      <c r="F65" s="7">
        <v>29.600000000000016</v>
      </c>
      <c r="G65" s="7"/>
      <c r="H65" s="7"/>
      <c r="I65" s="7"/>
      <c r="J65" s="8">
        <f t="shared" si="1"/>
        <v>10.166666666666664</v>
      </c>
      <c r="K65" s="7">
        <f t="shared" si="8"/>
        <v>0.58266787796398667</v>
      </c>
      <c r="L65" s="7">
        <f t="shared" si="8"/>
        <v>0.70011174520701047</v>
      </c>
      <c r="M65" s="7">
        <f t="shared" si="8"/>
        <v>0.8221535475266748</v>
      </c>
      <c r="N65" s="7">
        <f t="shared" si="8"/>
        <v>0.79737365143056849</v>
      </c>
      <c r="O65" s="7">
        <f t="shared" si="8"/>
        <v>0.80000000000000071</v>
      </c>
      <c r="P65" s="7"/>
      <c r="Q65" s="8">
        <f t="shared" si="3"/>
        <v>10.166666666666664</v>
      </c>
      <c r="R65" s="8">
        <f t="shared" si="4"/>
        <v>0.12294445896165242</v>
      </c>
      <c r="S65" s="8">
        <f t="shared" si="5"/>
        <v>0.29604409896515466</v>
      </c>
      <c r="T65" s="8">
        <f>$M65*T$2*$AG$2/100</f>
        <v>0.66306815807929309</v>
      </c>
      <c r="U65" s="8">
        <f>$M65*U$2*$AG$2/100</f>
        <v>0.8643590564501773</v>
      </c>
      <c r="V65" s="8">
        <f>$M65*V$2*$AG$2/100</f>
        <v>1.0563095813174592</v>
      </c>
      <c r="W65" s="8">
        <f>$M65*W$2*$AG$2/100</f>
        <v>1.2908870720525405</v>
      </c>
      <c r="X65" s="8">
        <f>$M65*X$2*$AG$2/100</f>
        <v>1.5775578128468846</v>
      </c>
      <c r="Y65" s="8">
        <f>$M65*Y$2*$AG$2/100</f>
        <v>2.0564648837274975</v>
      </c>
      <c r="Z65" s="8">
        <f>$M65*Z$2*$AG$2/100</f>
        <v>2.5132164018983731</v>
      </c>
      <c r="AA65" s="8">
        <f>$N65*AA$2*$AG$2/100</f>
        <v>2.9787624004473376</v>
      </c>
      <c r="AB65" s="8">
        <f>$N65*AB$2*$AG$2/100</f>
        <v>3.895159437587401</v>
      </c>
      <c r="AC65" s="8">
        <f>$N65*AC$2*$AG$2/100</f>
        <v>4.1756112239889331</v>
      </c>
      <c r="AD65" s="8">
        <f t="shared" si="6"/>
        <v>7.9859914880000069</v>
      </c>
      <c r="AE65" s="8"/>
      <c r="AF65" s="8"/>
      <c r="AG65" s="7"/>
    </row>
    <row r="66" spans="1:33" x14ac:dyDescent="0.25">
      <c r="A66" s="7">
        <v>43.055555555555557</v>
      </c>
      <c r="B66" s="7">
        <v>13.579222828920285</v>
      </c>
      <c r="C66" s="7">
        <v>17.467997365158443</v>
      </c>
      <c r="D66" s="7">
        <v>20.036721046818343</v>
      </c>
      <c r="E66" s="7">
        <v>21.826612141072946</v>
      </c>
      <c r="F66" s="7">
        <v>30.500000000000014</v>
      </c>
      <c r="G66" s="7"/>
      <c r="H66" s="7"/>
      <c r="I66" s="7"/>
      <c r="J66" s="8">
        <f t="shared" si="1"/>
        <v>10.333333333333336</v>
      </c>
      <c r="K66" s="7">
        <f t="shared" si="8"/>
        <v>0.64195444266108836</v>
      </c>
      <c r="L66" s="7">
        <f t="shared" si="8"/>
        <v>0.76462827629547547</v>
      </c>
      <c r="M66" s="7">
        <f t="shared" si="8"/>
        <v>0.90217653532516806</v>
      </c>
      <c r="N66" s="7">
        <f t="shared" si="8"/>
        <v>0.85964189178786654</v>
      </c>
      <c r="O66" s="7">
        <f t="shared" si="8"/>
        <v>0.89999999999999858</v>
      </c>
      <c r="P66" s="7"/>
      <c r="Q66" s="8">
        <f t="shared" si="3"/>
        <v>10.333333333333336</v>
      </c>
      <c r="R66" s="8">
        <f t="shared" si="4"/>
        <v>0.1354540804733958</v>
      </c>
      <c r="S66" s="8">
        <f t="shared" si="5"/>
        <v>0.32332508438669549</v>
      </c>
      <c r="T66" s="8">
        <f>$M66*T$2*$AG$2/100</f>
        <v>0.72760682641341856</v>
      </c>
      <c r="U66" s="8">
        <f>$M66*U$2*$AG$2/100</f>
        <v>0.94849004929927816</v>
      </c>
      <c r="V66" s="8">
        <f>$M66*V$2*$AG$2/100</f>
        <v>1.1591237685109481</v>
      </c>
      <c r="W66" s="8">
        <f>$M66*W$2*$AG$2/100</f>
        <v>1.4165334804720597</v>
      </c>
      <c r="X66" s="8">
        <f>$M66*X$2*$AG$2/100</f>
        <v>1.7311068548581252</v>
      </c>
      <c r="Y66" s="8">
        <f>$M66*Y$2*$AG$2/100</f>
        <v>2.2566275720642719</v>
      </c>
      <c r="Z66" s="8">
        <f>$M66*Z$2*$AG$2/100</f>
        <v>2.7578362616181438</v>
      </c>
      <c r="AA66" s="8">
        <f>$N66*AA$2*$AG$2/100</f>
        <v>3.2113789319637265</v>
      </c>
      <c r="AB66" s="8">
        <f>$N66*AB$2*$AG$2/100</f>
        <v>4.1993389444654374</v>
      </c>
      <c r="AC66" s="8">
        <f>$N66*AC$2*$AG$2/100</f>
        <v>4.5016916793281503</v>
      </c>
      <c r="AD66" s="8">
        <f t="shared" si="6"/>
        <v>8.9842404239999851</v>
      </c>
      <c r="AE66" s="8"/>
      <c r="AF66" s="8"/>
      <c r="AG66" s="7"/>
    </row>
    <row r="67" spans="1:33" x14ac:dyDescent="0.25">
      <c r="A67" s="7">
        <v>43.75</v>
      </c>
      <c r="B67" s="7">
        <v>14.295066990289</v>
      </c>
      <c r="C67" s="7">
        <v>18.31210697840422</v>
      </c>
      <c r="D67" s="7">
        <v>21.038221214174001</v>
      </c>
      <c r="E67" s="7">
        <v>22.761098128916064</v>
      </c>
      <c r="F67" s="7">
        <v>31.400000000000013</v>
      </c>
      <c r="G67" s="7"/>
      <c r="H67" s="7"/>
      <c r="I67" s="7"/>
      <c r="J67" s="8">
        <f t="shared" si="1"/>
        <v>10.5</v>
      </c>
      <c r="K67" s="7">
        <f t="shared" si="8"/>
        <v>0.71584416136871454</v>
      </c>
      <c r="L67" s="7">
        <f t="shared" si="8"/>
        <v>0.84410961324577727</v>
      </c>
      <c r="M67" s="7">
        <f t="shared" si="8"/>
        <v>1.0015001673556583</v>
      </c>
      <c r="N67" s="7">
        <f t="shared" si="8"/>
        <v>0.93448598784311798</v>
      </c>
      <c r="O67" s="7">
        <f t="shared" si="8"/>
        <v>0.89999999999999858</v>
      </c>
      <c r="P67" s="7"/>
      <c r="Q67" s="8">
        <f t="shared" si="3"/>
        <v>10.5</v>
      </c>
      <c r="R67" s="8">
        <f t="shared" si="4"/>
        <v>0.15104500599529191</v>
      </c>
      <c r="S67" s="8">
        <f t="shared" si="5"/>
        <v>0.35693397745710181</v>
      </c>
      <c r="T67" s="8">
        <f>$M67*T$2*$AG$2/100</f>
        <v>0.80771149535552478</v>
      </c>
      <c r="U67" s="8">
        <f>$M67*U$2*$AG$2/100</f>
        <v>1.0529124909749843</v>
      </c>
      <c r="V67" s="8">
        <f>$M67*V$2*$AG$2/100</f>
        <v>1.2867355807821252</v>
      </c>
      <c r="W67" s="8">
        <f>$M67*W$2*$AG$2/100</f>
        <v>1.5724843888190236</v>
      </c>
      <c r="X67" s="8">
        <f>$M67*X$2*$AG$2/100</f>
        <v>1.9216901980564893</v>
      </c>
      <c r="Y67" s="8">
        <f>$M67*Y$2*$AG$2/100</f>
        <v>2.5050672485814469</v>
      </c>
      <c r="Z67" s="8">
        <f>$M67*Z$2*$AG$2/100</f>
        <v>3.0614556790202778</v>
      </c>
      <c r="AA67" s="8">
        <f>$N67*AA$2*$AG$2/100</f>
        <v>3.4909753029058441</v>
      </c>
      <c r="AB67" s="8">
        <f>$N67*AB$2*$AG$2/100</f>
        <v>4.5649513353116582</v>
      </c>
      <c r="AC67" s="8">
        <f>$N67*AC$2*$AG$2/100</f>
        <v>4.8936281911214889</v>
      </c>
      <c r="AD67" s="8">
        <f t="shared" si="6"/>
        <v>8.9842404239999851</v>
      </c>
      <c r="AE67" s="8"/>
      <c r="AF67" s="8"/>
      <c r="AG67" s="7"/>
    </row>
    <row r="68" spans="1:33" x14ac:dyDescent="0.25">
      <c r="A68" s="7">
        <v>44.444444444444443</v>
      </c>
      <c r="B68" s="7">
        <v>15.105682518229221</v>
      </c>
      <c r="C68" s="7">
        <v>19.256798736813845</v>
      </c>
      <c r="D68" s="7">
        <v>22.166401387951989</v>
      </c>
      <c r="E68" s="7">
        <v>23.787436798032864</v>
      </c>
      <c r="F68" s="7">
        <v>32.400000000000013</v>
      </c>
      <c r="G68" s="7"/>
      <c r="H68" s="7"/>
      <c r="I68" s="7"/>
      <c r="J68" s="8">
        <f t="shared" si="1"/>
        <v>10.666666666666664</v>
      </c>
      <c r="K68" s="7">
        <f t="shared" si="8"/>
        <v>0.81061552794022163</v>
      </c>
      <c r="L68" s="7">
        <f t="shared" si="8"/>
        <v>0.94469175840962549</v>
      </c>
      <c r="M68" s="7">
        <f t="shared" si="8"/>
        <v>1.128180173777988</v>
      </c>
      <c r="N68" s="7">
        <f t="shared" si="8"/>
        <v>1.0263386691168002</v>
      </c>
      <c r="O68" s="7">
        <f t="shared" si="8"/>
        <v>1</v>
      </c>
      <c r="P68" s="7"/>
      <c r="Q68" s="8">
        <f t="shared" si="3"/>
        <v>10.666666666666664</v>
      </c>
      <c r="R68" s="8">
        <f t="shared" si="4"/>
        <v>0.17104201428911542</v>
      </c>
      <c r="S68" s="8">
        <f t="shared" si="5"/>
        <v>0.39946540296291078</v>
      </c>
      <c r="T68" s="8">
        <f>$M68*T$2*$AG$2/100</f>
        <v>0.9098791242329054</v>
      </c>
      <c r="U68" s="8">
        <f>$M68*U$2*$AG$2/100</f>
        <v>1.1860956550587647</v>
      </c>
      <c r="V68" s="8">
        <f>$M68*V$2*$AG$2/100</f>
        <v>1.4494950859230098</v>
      </c>
      <c r="W68" s="8">
        <f>$M68*W$2*$AG$2/100</f>
        <v>1.7713883320910222</v>
      </c>
      <c r="X68" s="8">
        <f>$M68*X$2*$AG$2/100</f>
        <v>2.1647652713980121</v>
      </c>
      <c r="Y68" s="8">
        <f>$M68*Y$2*$AG$2/100</f>
        <v>2.8219338308173429</v>
      </c>
      <c r="Z68" s="8">
        <f>$M68*Z$2*$AG$2/100</f>
        <v>3.4486999728519727</v>
      </c>
      <c r="AA68" s="8">
        <f>$N68*AA$2*$AG$2/100</f>
        <v>3.8341109368303399</v>
      </c>
      <c r="AB68" s="8">
        <f>$N68*AB$2*$AG$2/100</f>
        <v>5.0136504335186229</v>
      </c>
      <c r="AC68" s="8">
        <f>$N68*AC$2*$AG$2/100</f>
        <v>5.3746336597518534</v>
      </c>
      <c r="AD68" s="8">
        <f t="shared" si="6"/>
        <v>9.9824893600000006</v>
      </c>
      <c r="AE68" s="8"/>
      <c r="AF68" s="8"/>
      <c r="AG68" s="7"/>
    </row>
    <row r="69" spans="1:33" x14ac:dyDescent="0.25">
      <c r="A69" s="7">
        <v>45.138888888888893</v>
      </c>
      <c r="B69" s="7">
        <v>16.042448196221638</v>
      </c>
      <c r="C69" s="7">
        <v>20.33326701162764</v>
      </c>
      <c r="D69" s="7">
        <v>23.461851220834088</v>
      </c>
      <c r="E69" s="7">
        <v>24.929467191656393</v>
      </c>
      <c r="F69" s="7">
        <v>33.400000000000013</v>
      </c>
      <c r="G69" s="7"/>
      <c r="H69" s="7"/>
      <c r="I69" s="7"/>
      <c r="J69" s="8">
        <f t="shared" ref="J69:J132" si="10">A69*24/100</f>
        <v>10.833333333333336</v>
      </c>
      <c r="K69" s="7">
        <f t="shared" si="8"/>
        <v>0.93676567799241717</v>
      </c>
      <c r="L69" s="7">
        <f t="shared" si="8"/>
        <v>1.076468274813795</v>
      </c>
      <c r="M69" s="7">
        <f t="shared" si="8"/>
        <v>1.2954498328820989</v>
      </c>
      <c r="N69" s="7">
        <f t="shared" si="8"/>
        <v>1.1420303936235285</v>
      </c>
      <c r="O69" s="7">
        <f t="shared" si="8"/>
        <v>1</v>
      </c>
      <c r="P69" s="7"/>
      <c r="Q69" s="8">
        <f t="shared" ref="Q69:Q132" si="11">J69</f>
        <v>10.833333333333336</v>
      </c>
      <c r="R69" s="8">
        <f t="shared" ref="R69:R132" si="12">$K69*R$2*$AG$2/100</f>
        <v>0.19766002865485166</v>
      </c>
      <c r="S69" s="8">
        <f t="shared" ref="S69:S132" si="13">$L69*S$2*$AG$2/100</f>
        <v>0.45518745066560179</v>
      </c>
      <c r="T69" s="8">
        <f>$M69*T$2*$AG$2/100</f>
        <v>1.0447823732651256</v>
      </c>
      <c r="U69" s="8">
        <f>$M69*U$2*$AG$2/100</f>
        <v>1.3619521543111519</v>
      </c>
      <c r="V69" s="8">
        <f>$M69*V$2*$AG$2/100</f>
        <v>1.6644045077784753</v>
      </c>
      <c r="W69" s="8">
        <f>$M69*W$2*$AG$2/100</f>
        <v>2.034023263404904</v>
      </c>
      <c r="X69" s="8">
        <f>$M69*X$2*$AG$2/100</f>
        <v>2.4857242435580926</v>
      </c>
      <c r="Y69" s="8">
        <f>$M69*Y$2*$AG$2/100</f>
        <v>3.2403279143744816</v>
      </c>
      <c r="Z69" s="8">
        <f>$M69*Z$2*$AG$2/100</f>
        <v>3.9600215527017046</v>
      </c>
      <c r="AA69" s="8">
        <f>$N69*AA$2*$AG$2/100</f>
        <v>4.2663024926778084</v>
      </c>
      <c r="AB69" s="8">
        <f>$N69*AB$2*$AG$2/100</f>
        <v>5.5788029335475047</v>
      </c>
      <c r="AC69" s="8">
        <f>$N69*AC$2*$AG$2/100</f>
        <v>5.980477184310546</v>
      </c>
      <c r="AD69" s="8">
        <f t="shared" ref="AD69:AD132" si="14">$O69*AD$2*$AG$2/100</f>
        <v>9.9824893600000006</v>
      </c>
      <c r="AE69" s="8"/>
      <c r="AF69" s="8"/>
      <c r="AG69" s="7"/>
    </row>
    <row r="70" spans="1:33" x14ac:dyDescent="0.25">
      <c r="A70" s="7">
        <v>45.833333333333329</v>
      </c>
      <c r="B70" s="7">
        <v>17.155703913811319</v>
      </c>
      <c r="C70" s="7">
        <v>21.590594671755994</v>
      </c>
      <c r="D70" s="7">
        <v>24.988462100126643</v>
      </c>
      <c r="E70" s="7">
        <v>26.222139047369559</v>
      </c>
      <c r="F70" s="7">
        <v>34.500000000000014</v>
      </c>
      <c r="G70" s="7"/>
      <c r="H70" s="7"/>
      <c r="I70" s="7"/>
      <c r="J70" s="8">
        <f t="shared" si="10"/>
        <v>11</v>
      </c>
      <c r="K70" s="7">
        <f t="shared" ref="K70:O120" si="15">B70-B69</f>
        <v>1.1132557175896807</v>
      </c>
      <c r="L70" s="7">
        <f t="shared" si="15"/>
        <v>1.2573276601283538</v>
      </c>
      <c r="M70" s="7">
        <f t="shared" si="15"/>
        <v>1.526610879292555</v>
      </c>
      <c r="N70" s="7">
        <f t="shared" si="15"/>
        <v>1.2926718557131665</v>
      </c>
      <c r="O70" s="7">
        <f t="shared" si="15"/>
        <v>1.1000000000000014</v>
      </c>
      <c r="P70" s="7"/>
      <c r="Q70" s="8">
        <f t="shared" si="11"/>
        <v>11</v>
      </c>
      <c r="R70" s="8">
        <f t="shared" si="12"/>
        <v>0.23489989247955234</v>
      </c>
      <c r="S70" s="8">
        <f t="shared" si="13"/>
        <v>0.53166431901039546</v>
      </c>
      <c r="T70" s="8">
        <f>$M70*T$2*$AG$2/100</f>
        <v>1.2312141288954082</v>
      </c>
      <c r="U70" s="8">
        <f>$M70*U$2*$AG$2/100</f>
        <v>1.6049799251752006</v>
      </c>
      <c r="V70" s="8">
        <f>$M70*V$2*$AG$2/100</f>
        <v>1.9614021049855983</v>
      </c>
      <c r="W70" s="8">
        <f>$M70*W$2*$AG$2/100</f>
        <v>2.3969759104756303</v>
      </c>
      <c r="X70" s="8">
        <f>$M70*X$2*$AG$2/100</f>
        <v>2.929278754619598</v>
      </c>
      <c r="Y70" s="8">
        <f>$M70*Y$2*$AG$2/100</f>
        <v>3.8185344742791347</v>
      </c>
      <c r="Z70" s="8">
        <f>$M70*Z$2*$AG$2/100</f>
        <v>4.666650788890581</v>
      </c>
      <c r="AA70" s="8">
        <f>$N70*AA$2*$AG$2/100</f>
        <v>4.8290563815427952</v>
      </c>
      <c r="AB70" s="8">
        <f>$N70*AB$2*$AG$2/100</f>
        <v>6.3146844261171289</v>
      </c>
      <c r="AC70" s="8">
        <f>$N70*AC$2*$AG$2/100</f>
        <v>6.7693422023244603</v>
      </c>
      <c r="AD70" s="8">
        <f t="shared" si="14"/>
        <v>10.980738296000016</v>
      </c>
      <c r="AE70" s="8"/>
      <c r="AF70" s="8"/>
      <c r="AG70" s="7"/>
    </row>
    <row r="71" spans="1:33" x14ac:dyDescent="0.25">
      <c r="A71" s="7">
        <v>46.527777777777779</v>
      </c>
      <c r="B71" s="7">
        <v>18.533826515201383</v>
      </c>
      <c r="C71" s="7">
        <v>23.112941680835878</v>
      </c>
      <c r="D71" s="7">
        <v>26.855103076372057</v>
      </c>
      <c r="E71" s="7">
        <v>27.7197755781892</v>
      </c>
      <c r="F71" s="7">
        <v>35.800000000000011</v>
      </c>
      <c r="G71" s="7"/>
      <c r="H71" s="7"/>
      <c r="I71" s="7"/>
      <c r="J71" s="8">
        <f t="shared" si="10"/>
        <v>11.166666666666668</v>
      </c>
      <c r="K71" s="7">
        <f t="shared" si="15"/>
        <v>1.3781226013900643</v>
      </c>
      <c r="L71" s="7">
        <f t="shared" si="15"/>
        <v>1.5223470090798834</v>
      </c>
      <c r="M71" s="7">
        <f t="shared" si="15"/>
        <v>1.8666409762454137</v>
      </c>
      <c r="N71" s="7">
        <f t="shared" si="15"/>
        <v>1.4976365308196407</v>
      </c>
      <c r="O71" s="7">
        <f t="shared" si="15"/>
        <v>1.2999999999999972</v>
      </c>
      <c r="P71" s="7"/>
      <c r="Q71" s="8">
        <f t="shared" si="11"/>
        <v>11.166666666666668</v>
      </c>
      <c r="R71" s="8">
        <f t="shared" si="12"/>
        <v>0.2907875035136202</v>
      </c>
      <c r="S71" s="8">
        <f t="shared" si="13"/>
        <v>0.64372845006634416</v>
      </c>
      <c r="T71" s="8">
        <f>$M71*T$2*$AG$2/100</f>
        <v>1.5054489488464105</v>
      </c>
      <c r="U71" s="8">
        <f>$M71*U$2*$AG$2/100</f>
        <v>1.9624655732649203</v>
      </c>
      <c r="V71" s="8">
        <f>$M71*V$2*$AG$2/100</f>
        <v>2.3982755459968779</v>
      </c>
      <c r="W71" s="8">
        <f>$M71*W$2*$AG$2/100</f>
        <v>2.9308670036731281</v>
      </c>
      <c r="X71" s="8">
        <f>$M71*X$2*$AG$2/100</f>
        <v>3.581732469214391</v>
      </c>
      <c r="Y71" s="8">
        <f>$M71*Y$2*$AG$2/100</f>
        <v>4.6690568078476362</v>
      </c>
      <c r="Z71" s="8">
        <f>$M71*Z$2*$AG$2/100</f>
        <v>5.7060785446569602</v>
      </c>
      <c r="AA71" s="8">
        <f>$N71*AA$2*$AG$2/100</f>
        <v>5.5947464272719172</v>
      </c>
      <c r="AB71" s="8">
        <f>$N71*AB$2*$AG$2/100</f>
        <v>7.3159340751125059</v>
      </c>
      <c r="AC71" s="8">
        <f>$N71*AC$2*$AG$2/100</f>
        <v>7.8426819049348397</v>
      </c>
      <c r="AD71" s="8">
        <f t="shared" si="14"/>
        <v>12.977236167999973</v>
      </c>
      <c r="AE71" s="8"/>
      <c r="AF71" s="8"/>
      <c r="AG71" s="7"/>
    </row>
    <row r="72" spans="1:33" x14ac:dyDescent="0.25">
      <c r="A72" s="7">
        <v>47.222222222222221</v>
      </c>
      <c r="B72" s="7">
        <v>20.353937107598991</v>
      </c>
      <c r="C72" s="7">
        <v>25.064036500982173</v>
      </c>
      <c r="D72" s="7">
        <v>29.269272258803998</v>
      </c>
      <c r="E72" s="7">
        <v>29.513755881628551</v>
      </c>
      <c r="F72" s="7">
        <v>37.300000000000011</v>
      </c>
      <c r="G72" s="7"/>
      <c r="H72" s="7"/>
      <c r="I72" s="7"/>
      <c r="J72" s="8">
        <f t="shared" si="10"/>
        <v>11.333333333333332</v>
      </c>
      <c r="K72" s="7">
        <f t="shared" si="15"/>
        <v>1.820110592397608</v>
      </c>
      <c r="L72" s="7">
        <f t="shared" si="15"/>
        <v>1.9510948201462952</v>
      </c>
      <c r="M72" s="7">
        <f t="shared" si="15"/>
        <v>2.4141691824319409</v>
      </c>
      <c r="N72" s="7">
        <f t="shared" si="15"/>
        <v>1.7939803034393513</v>
      </c>
      <c r="O72" s="7">
        <f t="shared" si="15"/>
        <v>1.5</v>
      </c>
      <c r="P72" s="7"/>
      <c r="Q72" s="8">
        <f t="shared" si="11"/>
        <v>11.333333333333332</v>
      </c>
      <c r="R72" s="8">
        <f t="shared" si="12"/>
        <v>0.3840481353024362</v>
      </c>
      <c r="S72" s="8">
        <f t="shared" si="13"/>
        <v>0.82502559338581216</v>
      </c>
      <c r="T72" s="8">
        <f>$M72*T$2*$AG$2/100</f>
        <v>1.9470313275453004</v>
      </c>
      <c r="U72" s="8">
        <f>$M72*U$2*$AG$2/100</f>
        <v>2.538101310777674</v>
      </c>
      <c r="V72" s="8">
        <f>$M72*V$2*$AG$2/100</f>
        <v>3.1017442495940304</v>
      </c>
      <c r="W72" s="8">
        <f>$M72*W$2*$AG$2/100</f>
        <v>3.7905568816485968</v>
      </c>
      <c r="X72" s="8">
        <f>$M72*X$2*$AG$2/100</f>
        <v>4.6323359751191937</v>
      </c>
      <c r="Y72" s="8">
        <f>$M72*Y$2*$AG$2/100</f>
        <v>6.0385972449840111</v>
      </c>
      <c r="Z72" s="8">
        <f>$M72*Z$2*$AG$2/100</f>
        <v>7.3798010170949064</v>
      </c>
      <c r="AA72" s="8">
        <f>$N72*AA$2*$AG$2/100</f>
        <v>6.7018029319640267</v>
      </c>
      <c r="AB72" s="8">
        <f>$N72*AB$2*$AG$2/100</f>
        <v>8.7635693720889982</v>
      </c>
      <c r="AC72" s="8">
        <f>$N72*AC$2*$AG$2/100</f>
        <v>9.3945470573511987</v>
      </c>
      <c r="AD72" s="8">
        <f t="shared" si="14"/>
        <v>14.973734040000002</v>
      </c>
      <c r="AE72" s="8"/>
      <c r="AF72" s="8"/>
      <c r="AG72" s="7"/>
    </row>
    <row r="73" spans="1:33" x14ac:dyDescent="0.25">
      <c r="A73" s="7">
        <v>47.916666666666671</v>
      </c>
      <c r="B73" s="7">
        <v>23.056078702860873</v>
      </c>
      <c r="C73" s="7">
        <v>27.834891066745264</v>
      </c>
      <c r="D73" s="7">
        <v>32.700148128164749</v>
      </c>
      <c r="E73" s="7">
        <v>31.776151851604585</v>
      </c>
      <c r="F73" s="7">
        <v>39.100000000000009</v>
      </c>
      <c r="G73" s="7"/>
      <c r="H73" s="7"/>
      <c r="I73" s="7"/>
      <c r="J73" s="8">
        <f t="shared" si="10"/>
        <v>11.5</v>
      </c>
      <c r="K73" s="7">
        <f t="shared" si="15"/>
        <v>2.7021415952618817</v>
      </c>
      <c r="L73" s="7">
        <f t="shared" si="15"/>
        <v>2.7708545657630914</v>
      </c>
      <c r="M73" s="7">
        <f t="shared" si="15"/>
        <v>3.4308758693607508</v>
      </c>
      <c r="N73" s="7">
        <f t="shared" si="15"/>
        <v>2.2623959699760334</v>
      </c>
      <c r="O73" s="7">
        <f t="shared" si="15"/>
        <v>1.7999999999999972</v>
      </c>
      <c r="P73" s="7"/>
      <c r="Q73" s="8">
        <f t="shared" si="11"/>
        <v>11.5</v>
      </c>
      <c r="R73" s="8">
        <f t="shared" si="12"/>
        <v>0.57015900314961532</v>
      </c>
      <c r="S73" s="8">
        <f t="shared" si="13"/>
        <v>1.1716631650598472</v>
      </c>
      <c r="T73" s="8">
        <f>$M73*T$2*$AG$2/100</f>
        <v>2.7670069053882145</v>
      </c>
      <c r="U73" s="8">
        <f>$M73*U$2*$AG$2/100</f>
        <v>3.6070009527534443</v>
      </c>
      <c r="V73" s="8">
        <f>$M73*V$2*$AG$2/100</f>
        <v>4.4080172907105837</v>
      </c>
      <c r="W73" s="8">
        <f>$M73*W$2*$AG$2/100</f>
        <v>5.3869174668143351</v>
      </c>
      <c r="X73" s="8">
        <f>$M73*X$2*$AG$2/100</f>
        <v>6.583204620232201</v>
      </c>
      <c r="Y73" s="8">
        <f>$M73*Y$2*$AG$2/100</f>
        <v>8.5817007869074704</v>
      </c>
      <c r="Z73" s="8">
        <f>$M73*Z$2*$AG$2/100</f>
        <v>10.487741047514026</v>
      </c>
      <c r="AA73" s="8">
        <f>$N73*AA$2*$AG$2/100</f>
        <v>8.4516713565810679</v>
      </c>
      <c r="AB73" s="8">
        <f>$N73*AB$2*$AG$2/100</f>
        <v>11.05177352951346</v>
      </c>
      <c r="AC73" s="8">
        <f>$N73*AC$2*$AG$2/100</f>
        <v>11.847502094395258</v>
      </c>
      <c r="AD73" s="8">
        <f t="shared" si="14"/>
        <v>17.96848084799997</v>
      </c>
      <c r="AE73" s="8"/>
      <c r="AF73" s="8"/>
      <c r="AG73" s="7"/>
    </row>
    <row r="74" spans="1:33" x14ac:dyDescent="0.25">
      <c r="A74" s="7">
        <v>48.611111111111107</v>
      </c>
      <c r="B74" s="7">
        <v>28.303746813911768</v>
      </c>
      <c r="C74" s="7">
        <v>32.820020416627003</v>
      </c>
      <c r="D74" s="7">
        <v>38.575160481631102</v>
      </c>
      <c r="E74" s="7">
        <v>34.892886273390729</v>
      </c>
      <c r="F74" s="7">
        <v>41.400000000000006</v>
      </c>
      <c r="G74" s="7"/>
      <c r="H74" s="7"/>
      <c r="I74" s="7"/>
      <c r="J74" s="8">
        <f t="shared" si="10"/>
        <v>11.666666666666664</v>
      </c>
      <c r="K74" s="7">
        <f t="shared" si="15"/>
        <v>5.2476681110508956</v>
      </c>
      <c r="L74" s="7">
        <f t="shared" si="15"/>
        <v>4.9851293498817384</v>
      </c>
      <c r="M74" s="7">
        <f t="shared" si="15"/>
        <v>5.875012353466353</v>
      </c>
      <c r="N74" s="7">
        <f t="shared" si="15"/>
        <v>3.1167344217861448</v>
      </c>
      <c r="O74" s="7">
        <f t="shared" si="15"/>
        <v>2.2999999999999972</v>
      </c>
      <c r="P74" s="7"/>
      <c r="Q74" s="8">
        <f t="shared" si="11"/>
        <v>11.666666666666664</v>
      </c>
      <c r="R74" s="8">
        <f t="shared" si="12"/>
        <v>1.107271811478417</v>
      </c>
      <c r="S74" s="8">
        <f t="shared" si="13"/>
        <v>2.1079751007092637</v>
      </c>
      <c r="T74" s="8">
        <f>$M74*T$2*$AG$2/100</f>
        <v>4.7382069099198727</v>
      </c>
      <c r="U74" s="8">
        <f>$M74*U$2*$AG$2/100</f>
        <v>6.1766079459877927</v>
      </c>
      <c r="V74" s="8">
        <f>$M74*V$2*$AG$2/100</f>
        <v>7.548263773834285</v>
      </c>
      <c r="W74" s="8">
        <f>$M74*W$2*$AG$2/100</f>
        <v>9.2245268758542007</v>
      </c>
      <c r="X74" s="8">
        <f>$M74*X$2*$AG$2/100</f>
        <v>11.27304220320487</v>
      </c>
      <c r="Y74" s="8">
        <f>$M74*Y$2*$AG$2/100</f>
        <v>14.695255688812559</v>
      </c>
      <c r="Z74" s="8">
        <f>$M74*Z$2*$AG$2/100</f>
        <v>17.959148205959842</v>
      </c>
      <c r="AA74" s="8">
        <f>$N74*AA$2*$AG$2/100</f>
        <v>11.643238137026589</v>
      </c>
      <c r="AB74" s="8">
        <f>$N74*AB$2*$AG$2/100</f>
        <v>15.225205241850057</v>
      </c>
      <c r="AC74" s="8">
        <f>$N74*AC$2*$AG$2/100</f>
        <v>16.32142121884009</v>
      </c>
      <c r="AD74" s="8">
        <f t="shared" si="14"/>
        <v>22.959725527999971</v>
      </c>
      <c r="AE74" s="8"/>
      <c r="AF74" s="8"/>
      <c r="AG74" s="7"/>
    </row>
    <row r="75" spans="1:33" x14ac:dyDescent="0.25">
      <c r="A75" s="7">
        <v>49.305555555555557</v>
      </c>
      <c r="B75" s="7">
        <v>65.04393925711436</v>
      </c>
      <c r="C75" s="7">
        <v>61.290991034246758</v>
      </c>
      <c r="D75" s="7">
        <v>55.549247931303533</v>
      </c>
      <c r="E75" s="7">
        <v>40.046216834355185</v>
      </c>
      <c r="F75" s="7">
        <v>44.800000000000004</v>
      </c>
      <c r="G75" s="7"/>
      <c r="H75" s="7"/>
      <c r="I75" s="7"/>
      <c r="J75" s="8">
        <f t="shared" si="10"/>
        <v>11.833333333333336</v>
      </c>
      <c r="K75" s="7">
        <f t="shared" si="15"/>
        <v>36.740192443202588</v>
      </c>
      <c r="L75" s="7">
        <f t="shared" si="15"/>
        <v>28.470970617619756</v>
      </c>
      <c r="M75" s="7">
        <f t="shared" si="15"/>
        <v>16.974087449672432</v>
      </c>
      <c r="N75" s="7">
        <f t="shared" si="15"/>
        <v>5.1533305609644557</v>
      </c>
      <c r="O75" s="7">
        <f t="shared" si="15"/>
        <v>3.3999999999999986</v>
      </c>
      <c r="P75" s="7"/>
      <c r="Q75" s="8">
        <f t="shared" si="11"/>
        <v>11.833333333333336</v>
      </c>
      <c r="R75" s="8">
        <f t="shared" si="12"/>
        <v>7.7522775030267201</v>
      </c>
      <c r="S75" s="8">
        <f t="shared" si="13"/>
        <v>12.039025056870642</v>
      </c>
      <c r="T75" s="8">
        <f>$M75*T$2*$AG$2/100</f>
        <v>13.689628822000525</v>
      </c>
      <c r="U75" s="8">
        <f>$M75*U$2*$AG$2/100</f>
        <v>17.845457525834778</v>
      </c>
      <c r="V75" s="8">
        <f>$M75*V$2*$AG$2/100</f>
        <v>21.808445954102861</v>
      </c>
      <c r="W75" s="8">
        <f>$M75*W$2*$AG$2/100</f>
        <v>26.651505810063412</v>
      </c>
      <c r="X75" s="8">
        <f>$M75*X$2*$AG$2/100</f>
        <v>32.57007690684226</v>
      </c>
      <c r="Y75" s="8">
        <f>$M75*Y$2*$AG$2/100</f>
        <v>42.457537133522429</v>
      </c>
      <c r="Z75" s="8">
        <f>$M75*Z$2*$AG$2/100</f>
        <v>51.887576370750857</v>
      </c>
      <c r="AA75" s="8">
        <f>$N75*AA$2*$AG$2/100</f>
        <v>19.251385200071113</v>
      </c>
      <c r="AB75" s="8">
        <f>$N75*AB$2*$AG$2/100</f>
        <v>25.173949670314805</v>
      </c>
      <c r="AC75" s="8">
        <f>$N75*AC$2*$AG$2/100</f>
        <v>26.98647603000471</v>
      </c>
      <c r="AD75" s="8">
        <f t="shared" si="14"/>
        <v>33.940463823999984</v>
      </c>
      <c r="AE75" s="8"/>
      <c r="AF75" s="8"/>
      <c r="AG75" s="7"/>
    </row>
    <row r="76" spans="1:33" x14ac:dyDescent="0.25">
      <c r="A76" s="7">
        <v>50</v>
      </c>
      <c r="B76" s="7">
        <v>74.626695657191846</v>
      </c>
      <c r="C76" s="7">
        <v>69.797015944939318</v>
      </c>
      <c r="D76" s="7">
        <v>64.453689462027171</v>
      </c>
      <c r="E76" s="7">
        <v>55.120798493874112</v>
      </c>
      <c r="F76" s="7">
        <v>52.2</v>
      </c>
      <c r="G76" s="7"/>
      <c r="H76" s="7"/>
      <c r="I76" s="7"/>
      <c r="J76" s="8">
        <f t="shared" si="10"/>
        <v>12</v>
      </c>
      <c r="K76" s="7">
        <f t="shared" si="15"/>
        <v>9.5827564000774856</v>
      </c>
      <c r="L76" s="7">
        <f t="shared" si="15"/>
        <v>8.5060249106925596</v>
      </c>
      <c r="M76" s="7">
        <f t="shared" si="15"/>
        <v>8.9044415307236378</v>
      </c>
      <c r="N76" s="7">
        <f t="shared" si="15"/>
        <v>15.074581659518927</v>
      </c>
      <c r="O76" s="7">
        <f t="shared" si="15"/>
        <v>7.3999999999999986</v>
      </c>
      <c r="P76" s="7"/>
      <c r="Q76" s="8">
        <f t="shared" si="11"/>
        <v>12</v>
      </c>
      <c r="R76" s="8">
        <f t="shared" si="12"/>
        <v>2.0219868736983249</v>
      </c>
      <c r="S76" s="8">
        <f t="shared" si="13"/>
        <v>3.5967950797862485</v>
      </c>
      <c r="T76" s="8">
        <f>$M76*T$2*$AG$2/100</f>
        <v>7.1814464126120185</v>
      </c>
      <c r="U76" s="8">
        <f>$M76*U$2*$AG$2/100</f>
        <v>9.3615538154231928</v>
      </c>
      <c r="V76" s="8">
        <f>$M76*V$2*$AG$2/100</f>
        <v>11.440499081321921</v>
      </c>
      <c r="W76" s="8">
        <f>$M76*W$2*$AG$2/100</f>
        <v>13.981121276480215</v>
      </c>
      <c r="X76" s="8">
        <f>$M76*X$2*$AG$2/100</f>
        <v>17.085946229983982</v>
      </c>
      <c r="Y76" s="8">
        <f>$M76*Y$2*$AG$2/100</f>
        <v>22.272811900192842</v>
      </c>
      <c r="Z76" s="8">
        <f>$M76*Z$2*$AG$2/100</f>
        <v>27.219718958925519</v>
      </c>
      <c r="AA76" s="8">
        <f>$N76*AA$2*$AG$2/100</f>
        <v>56.314372777789238</v>
      </c>
      <c r="AB76" s="8">
        <f>$N76*AB$2*$AG$2/100</f>
        <v>73.639126290931841</v>
      </c>
      <c r="AC76" s="8">
        <f>$N76*AC$2*$AG$2/100</f>
        <v>78.941149185823008</v>
      </c>
      <c r="AD76" s="8">
        <f t="shared" si="14"/>
        <v>73.870421263999987</v>
      </c>
      <c r="AE76" s="8"/>
      <c r="AF76" s="8"/>
      <c r="AG76" s="7"/>
    </row>
    <row r="77" spans="1:33" x14ac:dyDescent="0.25">
      <c r="A77" s="7">
        <v>50.694444444444443</v>
      </c>
      <c r="B77" s="7">
        <v>78.199222915571823</v>
      </c>
      <c r="C77" s="7">
        <v>73.34472252830335</v>
      </c>
      <c r="D77" s="7">
        <v>68.794999824396541</v>
      </c>
      <c r="E77" s="7">
        <v>62.842580037354665</v>
      </c>
      <c r="F77" s="7">
        <v>56.800000000000004</v>
      </c>
      <c r="G77" s="7"/>
      <c r="H77" s="7"/>
      <c r="I77" s="7"/>
      <c r="J77" s="8">
        <f t="shared" si="10"/>
        <v>12.166666666666664</v>
      </c>
      <c r="K77" s="7">
        <f t="shared" si="15"/>
        <v>3.5725272583799779</v>
      </c>
      <c r="L77" s="7">
        <f t="shared" si="15"/>
        <v>3.5477065833640324</v>
      </c>
      <c r="M77" s="7">
        <f t="shared" si="15"/>
        <v>4.3413103623693701</v>
      </c>
      <c r="N77" s="7">
        <f t="shared" si="15"/>
        <v>7.721781543480553</v>
      </c>
      <c r="O77" s="7">
        <f t="shared" si="15"/>
        <v>4.6000000000000014</v>
      </c>
      <c r="P77" s="7"/>
      <c r="Q77" s="8">
        <f t="shared" si="11"/>
        <v>12.166666666666664</v>
      </c>
      <c r="R77" s="8">
        <f t="shared" si="12"/>
        <v>0.75381267359727189</v>
      </c>
      <c r="S77" s="8">
        <f t="shared" si="13"/>
        <v>1.5001570907144319</v>
      </c>
      <c r="T77" s="8">
        <f>$M77*T$2*$AG$2/100</f>
        <v>3.501273787951892</v>
      </c>
      <c r="U77" s="8">
        <f>$M77*U$2*$AG$2/100</f>
        <v>4.5641728845708318</v>
      </c>
      <c r="V77" s="8">
        <f>$M77*V$2*$AG$2/100</f>
        <v>5.5777509505847522</v>
      </c>
      <c r="W77" s="8">
        <f>$M77*W$2*$AG$2/100</f>
        <v>6.8164170055697824</v>
      </c>
      <c r="X77" s="8">
        <f>$M77*X$2*$AG$2/100</f>
        <v>8.3301569405765221</v>
      </c>
      <c r="Y77" s="8">
        <f>$M77*Y$2*$AG$2/100</f>
        <v>10.858984111219497</v>
      </c>
      <c r="Z77" s="8">
        <f>$M77*Z$2*$AG$2/100</f>
        <v>13.270820811101682</v>
      </c>
      <c r="AA77" s="8">
        <f>$N77*AA$2*$AG$2/100</f>
        <v>28.846391506568271</v>
      </c>
      <c r="AB77" s="8">
        <f>$N77*AB$2*$AG$2/100</f>
        <v>37.720797771677425</v>
      </c>
      <c r="AC77" s="8">
        <f>$N77*AC$2*$AG$2/100</f>
        <v>40.436698183217516</v>
      </c>
      <c r="AD77" s="8">
        <f t="shared" si="14"/>
        <v>45.919451056000014</v>
      </c>
      <c r="AE77" s="8"/>
      <c r="AF77" s="8"/>
      <c r="AG77" s="7"/>
    </row>
    <row r="78" spans="1:33" x14ac:dyDescent="0.25">
      <c r="A78" s="7">
        <v>51.388888888888886</v>
      </c>
      <c r="B78" s="7">
        <v>80.37286285883664</v>
      </c>
      <c r="C78" s="7">
        <v>75.62925880749664</v>
      </c>
      <c r="D78" s="7">
        <v>71.628691497656106</v>
      </c>
      <c r="E78" s="7">
        <v>66.717588720785329</v>
      </c>
      <c r="F78" s="7">
        <v>59.500000000000007</v>
      </c>
      <c r="G78" s="7"/>
      <c r="H78" s="7"/>
      <c r="I78" s="7"/>
      <c r="J78" s="8">
        <f t="shared" si="10"/>
        <v>12.333333333333332</v>
      </c>
      <c r="K78" s="7">
        <f t="shared" si="15"/>
        <v>2.173639943264817</v>
      </c>
      <c r="L78" s="7">
        <f t="shared" si="15"/>
        <v>2.2845362791932899</v>
      </c>
      <c r="M78" s="7">
        <f t="shared" si="15"/>
        <v>2.8336916732595654</v>
      </c>
      <c r="N78" s="7">
        <f t="shared" si="15"/>
        <v>3.8750086834306643</v>
      </c>
      <c r="O78" s="7">
        <f t="shared" si="15"/>
        <v>2.7000000000000028</v>
      </c>
      <c r="P78" s="7"/>
      <c r="Q78" s="8">
        <f t="shared" si="11"/>
        <v>12.333333333333332</v>
      </c>
      <c r="R78" s="8">
        <f t="shared" si="12"/>
        <v>0.45864376072340657</v>
      </c>
      <c r="S78" s="8">
        <f t="shared" si="13"/>
        <v>0.96602219425272995</v>
      </c>
      <c r="T78" s="8">
        <f>$M78*T$2*$AG$2/100</f>
        <v>2.2853768909777625</v>
      </c>
      <c r="U78" s="8">
        <f>$M78*U$2*$AG$2/100</f>
        <v>2.9791601195881157</v>
      </c>
      <c r="V78" s="8">
        <f>$M78*V$2*$AG$2/100</f>
        <v>3.6407501663993798</v>
      </c>
      <c r="W78" s="8">
        <f>$M78*W$2*$AG$2/100</f>
        <v>4.449261282394481</v>
      </c>
      <c r="X78" s="8">
        <f>$M78*X$2*$AG$2/100</f>
        <v>5.4373206219179497</v>
      </c>
      <c r="Y78" s="8">
        <f>$M78*Y$2*$AG$2/100</f>
        <v>7.0879550844244692</v>
      </c>
      <c r="Z78" s="8">
        <f>$M78*Z$2*$AG$2/100</f>
        <v>8.6622266760063127</v>
      </c>
      <c r="AA78" s="8">
        <f>$N78*AA$2*$AG$2/100</f>
        <v>14.47593627768034</v>
      </c>
      <c r="AB78" s="8">
        <f>$N78*AB$2*$AG$2/100</f>
        <v>18.92936469234759</v>
      </c>
      <c r="AC78" s="8">
        <f>$N78*AC$2*$AG$2/100</f>
        <v>20.292280441620015</v>
      </c>
      <c r="AD78" s="8">
        <f t="shared" si="14"/>
        <v>26.95272127200003</v>
      </c>
      <c r="AE78" s="8"/>
      <c r="AF78" s="8"/>
      <c r="AG78" s="7"/>
    </row>
    <row r="79" spans="1:33" x14ac:dyDescent="0.25">
      <c r="A79" s="7">
        <v>52.083333333333336</v>
      </c>
      <c r="B79" s="7">
        <v>81.940350220190112</v>
      </c>
      <c r="C79" s="7">
        <v>77.337136088357909</v>
      </c>
      <c r="D79" s="7">
        <v>73.733029345321341</v>
      </c>
      <c r="E79" s="7">
        <v>69.334189944314986</v>
      </c>
      <c r="F79" s="7">
        <v>61.500000000000007</v>
      </c>
      <c r="G79" s="7"/>
      <c r="H79" s="7"/>
      <c r="I79" s="7"/>
      <c r="J79" s="8">
        <f t="shared" si="10"/>
        <v>12.5</v>
      </c>
      <c r="K79" s="7">
        <f t="shared" si="15"/>
        <v>1.5674873613534714</v>
      </c>
      <c r="L79" s="7">
        <f t="shared" si="15"/>
        <v>1.7078772808612683</v>
      </c>
      <c r="M79" s="7">
        <f t="shared" si="15"/>
        <v>2.104337847665235</v>
      </c>
      <c r="N79" s="7">
        <f t="shared" si="15"/>
        <v>2.6166012235296563</v>
      </c>
      <c r="O79" s="7">
        <f t="shared" si="15"/>
        <v>2</v>
      </c>
      <c r="P79" s="7"/>
      <c r="Q79" s="8">
        <f t="shared" si="11"/>
        <v>12.5</v>
      </c>
      <c r="R79" s="8">
        <f t="shared" si="12"/>
        <v>0.33074396729098882</v>
      </c>
      <c r="S79" s="8">
        <f t="shared" si="13"/>
        <v>0.72218041507950081</v>
      </c>
      <c r="T79" s="8">
        <f>$M79*T$2*$AG$2/100</f>
        <v>1.6971518578561631</v>
      </c>
      <c r="U79" s="8">
        <f>$M79*U$2*$AG$2/100</f>
        <v>2.2123646877547589</v>
      </c>
      <c r="V79" s="8">
        <f>$M79*V$2*$AG$2/100</f>
        <v>2.7036704244660914</v>
      </c>
      <c r="W79" s="8">
        <f>$M79*W$2*$AG$2/100</f>
        <v>3.3040817386897969</v>
      </c>
      <c r="X79" s="8">
        <f>$M79*X$2*$AG$2/100</f>
        <v>4.0378279975079474</v>
      </c>
      <c r="Y79" s="8">
        <f>$M79*Y$2*$AG$2/100</f>
        <v>5.2636115239554497</v>
      </c>
      <c r="Z79" s="8">
        <f>$M79*Z$2*$AG$2/100</f>
        <v>6.4326869473444663</v>
      </c>
      <c r="AA79" s="8">
        <f>$N79*AA$2*$AG$2/100</f>
        <v>9.7748819861692215</v>
      </c>
      <c r="AB79" s="8">
        <f>$N79*AB$2*$AG$2/100</f>
        <v>12.78206137354635</v>
      </c>
      <c r="AC79" s="8">
        <f>$N79*AC$2*$AG$2/100</f>
        <v>13.702370799525955</v>
      </c>
      <c r="AD79" s="8">
        <f t="shared" si="14"/>
        <v>19.964978720000001</v>
      </c>
      <c r="AE79" s="8"/>
      <c r="AF79" s="8"/>
      <c r="AG79" s="7"/>
    </row>
    <row r="80" spans="1:33" x14ac:dyDescent="0.25">
      <c r="A80" s="7">
        <v>52.777777777777779</v>
      </c>
      <c r="B80" s="7">
        <v>83.171290541599078</v>
      </c>
      <c r="C80" s="7">
        <v>78.713083962663518</v>
      </c>
      <c r="D80" s="7">
        <v>75.411779885194051</v>
      </c>
      <c r="E80" s="7">
        <v>71.332599910043385</v>
      </c>
      <c r="F80" s="7">
        <v>63.100000000000009</v>
      </c>
      <c r="G80" s="7"/>
      <c r="H80" s="7"/>
      <c r="I80" s="7"/>
      <c r="J80" s="8">
        <f t="shared" si="10"/>
        <v>12.666666666666668</v>
      </c>
      <c r="K80" s="7">
        <f t="shared" si="15"/>
        <v>1.2309403214089656</v>
      </c>
      <c r="L80" s="7">
        <f t="shared" si="15"/>
        <v>1.3759478743056093</v>
      </c>
      <c r="M80" s="7">
        <f t="shared" si="15"/>
        <v>1.6787505398727092</v>
      </c>
      <c r="N80" s="7">
        <f t="shared" si="15"/>
        <v>1.9984099657283991</v>
      </c>
      <c r="O80" s="7">
        <f t="shared" si="15"/>
        <v>1.6000000000000014</v>
      </c>
      <c r="P80" s="7"/>
      <c r="Q80" s="8">
        <f t="shared" si="11"/>
        <v>12.666666666666668</v>
      </c>
      <c r="R80" s="8">
        <f t="shared" si="12"/>
        <v>0.25973165426335992</v>
      </c>
      <c r="S80" s="8">
        <f t="shared" si="13"/>
        <v>0.58182318959865542</v>
      </c>
      <c r="T80" s="8">
        <f>$M80*T$2*$AG$2/100</f>
        <v>1.3539150097894588</v>
      </c>
      <c r="U80" s="8">
        <f>$M80*U$2*$AG$2/100</f>
        <v>1.7649297227079364</v>
      </c>
      <c r="V80" s="8">
        <f>$M80*V$2*$AG$2/100</f>
        <v>2.1568723813745581</v>
      </c>
      <c r="W80" s="8">
        <f>$M80*W$2*$AG$2/100</f>
        <v>2.6358547933560943</v>
      </c>
      <c r="X80" s="8">
        <f>$M80*X$2*$AG$2/100</f>
        <v>3.221206109204549</v>
      </c>
      <c r="Y80" s="8">
        <f>$M80*Y$2*$AG$2/100</f>
        <v>4.1990836677315366</v>
      </c>
      <c r="Z80" s="8">
        <f>$M80*Z$2*$AG$2/100</f>
        <v>5.1317219322306142</v>
      </c>
      <c r="AA80" s="8">
        <f>$N80*AA$2*$AG$2/100</f>
        <v>7.465494321151831</v>
      </c>
      <c r="AB80" s="8">
        <f>$N80*AB$2*$AG$2/100</f>
        <v>9.7622054907510236</v>
      </c>
      <c r="AC80" s="8">
        <f>$N80*AC$2*$AG$2/100</f>
        <v>10.46508505523831</v>
      </c>
      <c r="AD80" s="8">
        <f t="shared" si="14"/>
        <v>15.971982976000014</v>
      </c>
      <c r="AE80" s="8"/>
      <c r="AF80" s="8"/>
      <c r="AG80" s="7"/>
    </row>
    <row r="81" spans="1:33" x14ac:dyDescent="0.25">
      <c r="A81" s="7">
        <v>53.472222222222221</v>
      </c>
      <c r="B81" s="7">
        <v>84.188281859565805</v>
      </c>
      <c r="C81" s="7">
        <v>79.87223545863101</v>
      </c>
      <c r="D81" s="7">
        <v>76.812737597105368</v>
      </c>
      <c r="E81" s="7">
        <v>72.963485497024195</v>
      </c>
      <c r="F81" s="7">
        <v>64.500000000000014</v>
      </c>
      <c r="G81" s="7"/>
      <c r="H81" s="7"/>
      <c r="I81" s="7"/>
      <c r="J81" s="8">
        <f t="shared" si="10"/>
        <v>12.833333333333332</v>
      </c>
      <c r="K81" s="7">
        <f t="shared" si="15"/>
        <v>1.0169913179667276</v>
      </c>
      <c r="L81" s="7">
        <f t="shared" si="15"/>
        <v>1.1591514959674925</v>
      </c>
      <c r="M81" s="7">
        <f t="shared" si="15"/>
        <v>1.4009577119113175</v>
      </c>
      <c r="N81" s="7">
        <f t="shared" si="15"/>
        <v>1.6308855869808099</v>
      </c>
      <c r="O81" s="7">
        <f t="shared" si="15"/>
        <v>1.4000000000000057</v>
      </c>
      <c r="P81" s="7"/>
      <c r="Q81" s="8">
        <f t="shared" si="11"/>
        <v>12.833333333333332</v>
      </c>
      <c r="R81" s="8">
        <f t="shared" si="12"/>
        <v>0.21458785027419197</v>
      </c>
      <c r="S81" s="8">
        <f t="shared" si="13"/>
        <v>0.49015026892077224</v>
      </c>
      <c r="T81" s="8">
        <f>$M81*T$2*$AG$2/100</f>
        <v>1.1298746473557957</v>
      </c>
      <c r="U81" s="8">
        <f>$M81*U$2*$AG$2/100</f>
        <v>1.4728763132351221</v>
      </c>
      <c r="V81" s="8">
        <f>$M81*V$2*$AG$2/100</f>
        <v>1.7999618910170738</v>
      </c>
      <c r="W81" s="8">
        <f>$M81*W$2*$AG$2/100</f>
        <v>2.1996842368912248</v>
      </c>
      <c r="X81" s="8">
        <f>$M81*X$2*$AG$2/100</f>
        <v>2.6881739920024939</v>
      </c>
      <c r="Y81" s="8">
        <f>$M81*Y$2*$AG$2/100</f>
        <v>3.5042363397931742</v>
      </c>
      <c r="Z81" s="8">
        <f>$M81*Z$2*$AG$2/100</f>
        <v>4.2825454083773851</v>
      </c>
      <c r="AA81" s="8">
        <f>$N81*AA$2*$AG$2/100</f>
        <v>6.0925272075571408</v>
      </c>
      <c r="AB81" s="8">
        <f>$N81*AB$2*$AG$2/100</f>
        <v>7.9668539013753943</v>
      </c>
      <c r="AC81" s="8">
        <f>$N81*AC$2*$AG$2/100</f>
        <v>8.5404680099738997</v>
      </c>
      <c r="AD81" s="8">
        <f t="shared" si="14"/>
        <v>13.975485104000056</v>
      </c>
      <c r="AE81" s="8"/>
      <c r="AF81" s="8"/>
      <c r="AG81" s="7"/>
    </row>
    <row r="82" spans="1:33" x14ac:dyDescent="0.25">
      <c r="A82" s="7">
        <v>54.166666666666664</v>
      </c>
      <c r="B82" s="7">
        <v>85.05714000710249</v>
      </c>
      <c r="C82" s="7">
        <v>80.878049500843801</v>
      </c>
      <c r="D82" s="7">
        <v>78.01834513675486</v>
      </c>
      <c r="E82" s="7">
        <v>74.350123555814562</v>
      </c>
      <c r="F82" s="7">
        <v>65.700000000000017</v>
      </c>
      <c r="G82" s="7"/>
      <c r="H82" s="7"/>
      <c r="I82" s="7"/>
      <c r="J82" s="8">
        <f t="shared" si="10"/>
        <v>13</v>
      </c>
      <c r="K82" s="7">
        <f t="shared" si="15"/>
        <v>0.86885814753668456</v>
      </c>
      <c r="L82" s="7">
        <f t="shared" si="15"/>
        <v>1.0058140422127906</v>
      </c>
      <c r="M82" s="7">
        <f t="shared" si="15"/>
        <v>1.2056075396494919</v>
      </c>
      <c r="N82" s="7">
        <f t="shared" si="15"/>
        <v>1.3866380587903677</v>
      </c>
      <c r="O82" s="7">
        <f t="shared" si="15"/>
        <v>1.2000000000000028</v>
      </c>
      <c r="P82" s="7"/>
      <c r="Q82" s="8">
        <f t="shared" si="11"/>
        <v>13</v>
      </c>
      <c r="R82" s="8">
        <f t="shared" si="12"/>
        <v>0.18333136063135375</v>
      </c>
      <c r="S82" s="8">
        <f t="shared" si="13"/>
        <v>0.4253111219628829</v>
      </c>
      <c r="T82" s="8">
        <f>$M82*T$2*$AG$2/100</f>
        <v>0.9723244193092293</v>
      </c>
      <c r="U82" s="8">
        <f>$M82*U$2*$AG$2/100</f>
        <v>1.2674977789192647</v>
      </c>
      <c r="V82" s="8">
        <f>$M82*V$2*$AG$2/100</f>
        <v>1.5489743969012166</v>
      </c>
      <c r="W82" s="8">
        <f>$M82*W$2*$AG$2/100</f>
        <v>1.8929592794247543</v>
      </c>
      <c r="X82" s="8">
        <f>$M82*X$2*$AG$2/100</f>
        <v>2.3133338037922386</v>
      </c>
      <c r="Y82" s="8">
        <f>$M82*Y$2*$AG$2/100</f>
        <v>3.0156040514632041</v>
      </c>
      <c r="Z82" s="8">
        <f>$M82*Z$2*$AG$2/100</f>
        <v>3.6853853541283166</v>
      </c>
      <c r="AA82" s="8">
        <f>$N82*AA$2*$AG$2/100</f>
        <v>5.1800875350515563</v>
      </c>
      <c r="AB82" s="8">
        <f>$N82*AB$2*$AG$2/100</f>
        <v>6.7737080495761566</v>
      </c>
      <c r="AC82" s="8">
        <f>$N82*AC$2*$AG$2/100</f>
        <v>7.2614155628384927</v>
      </c>
      <c r="AD82" s="8">
        <f t="shared" si="14"/>
        <v>11.97898723200003</v>
      </c>
      <c r="AE82" s="8"/>
      <c r="AF82" s="8"/>
      <c r="AG82" s="7"/>
    </row>
    <row r="83" spans="1:33" x14ac:dyDescent="0.25">
      <c r="A83" s="7">
        <v>54.861111111111114</v>
      </c>
      <c r="B83" s="7">
        <v>85.817235582138423</v>
      </c>
      <c r="C83" s="7">
        <v>81.769304755278981</v>
      </c>
      <c r="D83" s="7">
        <v>79.079099066019339</v>
      </c>
      <c r="E83" s="7">
        <v>75.562159175559657</v>
      </c>
      <c r="F83" s="7">
        <v>66.800000000000011</v>
      </c>
      <c r="G83" s="7"/>
      <c r="H83" s="7"/>
      <c r="I83" s="7"/>
      <c r="J83" s="8">
        <f t="shared" si="10"/>
        <v>13.166666666666668</v>
      </c>
      <c r="K83" s="7">
        <f t="shared" si="15"/>
        <v>0.76009557503593328</v>
      </c>
      <c r="L83" s="7">
        <f t="shared" si="15"/>
        <v>0.89125525443517972</v>
      </c>
      <c r="M83" s="7">
        <f t="shared" si="15"/>
        <v>1.0607539292644788</v>
      </c>
      <c r="N83" s="7">
        <f t="shared" si="15"/>
        <v>1.2120356197450946</v>
      </c>
      <c r="O83" s="7">
        <f t="shared" si="15"/>
        <v>1.0999999999999943</v>
      </c>
      <c r="P83" s="7"/>
      <c r="Q83" s="8">
        <f t="shared" si="11"/>
        <v>13.166666666666668</v>
      </c>
      <c r="R83" s="8">
        <f t="shared" si="12"/>
        <v>0.16038217098646165</v>
      </c>
      <c r="S83" s="8">
        <f t="shared" si="13"/>
        <v>0.37686963624529179</v>
      </c>
      <c r="T83" s="8">
        <f>$M83*T$2*$AG$2/100</f>
        <v>0.8554997496133171</v>
      </c>
      <c r="U83" s="8">
        <f>$M83*U$2*$AG$2/100</f>
        <v>1.115208063242122</v>
      </c>
      <c r="V83" s="8">
        <f>$M83*V$2*$AG$2/100</f>
        <v>1.3628652972100168</v>
      </c>
      <c r="W83" s="8">
        <f>$M83*W$2*$AG$2/100</f>
        <v>1.665520434760422</v>
      </c>
      <c r="X83" s="8">
        <f>$M83*X$2*$AG$2/100</f>
        <v>2.0353870072730134</v>
      </c>
      <c r="Y83" s="8">
        <f>$M83*Y$2*$AG$2/100</f>
        <v>2.653279563617752</v>
      </c>
      <c r="Z83" s="8">
        <f>$M83*Z$2*$AG$2/100</f>
        <v>3.2425867180475065</v>
      </c>
      <c r="AA83" s="8">
        <f>$N83*AA$2*$AG$2/100</f>
        <v>4.5278222143686522</v>
      </c>
      <c r="AB83" s="8">
        <f>$N83*AB$2*$AG$2/100</f>
        <v>5.9207775106088869</v>
      </c>
      <c r="AC83" s="8">
        <f>$N83*AC$2*$AG$2/100</f>
        <v>6.3470739578641409</v>
      </c>
      <c r="AD83" s="8">
        <f t="shared" si="14"/>
        <v>10.980738295999945</v>
      </c>
      <c r="AE83" s="8"/>
      <c r="AF83" s="8"/>
      <c r="AG83" s="7"/>
    </row>
    <row r="84" spans="1:33" x14ac:dyDescent="0.25">
      <c r="A84" s="7">
        <v>55.555555555555557</v>
      </c>
      <c r="B84" s="7">
        <v>86.493986733747647</v>
      </c>
      <c r="C84" s="7">
        <v>82.57148559213617</v>
      </c>
      <c r="D84" s="7">
        <v>80.028108094449578</v>
      </c>
      <c r="E84" s="7">
        <v>76.642801595386928</v>
      </c>
      <c r="F84" s="7">
        <v>67.800000000000011</v>
      </c>
      <c r="G84" s="7"/>
      <c r="H84" s="7"/>
      <c r="I84" s="7"/>
      <c r="J84" s="8">
        <f t="shared" si="10"/>
        <v>13.333333333333336</v>
      </c>
      <c r="K84" s="7">
        <f t="shared" si="15"/>
        <v>0.67675115160922417</v>
      </c>
      <c r="L84" s="7">
        <f t="shared" si="15"/>
        <v>0.80218083685718966</v>
      </c>
      <c r="M84" s="7">
        <f t="shared" si="15"/>
        <v>0.94900902843023971</v>
      </c>
      <c r="N84" s="7">
        <f t="shared" si="15"/>
        <v>1.0806424198272708</v>
      </c>
      <c r="O84" s="7">
        <f t="shared" si="15"/>
        <v>1</v>
      </c>
      <c r="P84" s="7"/>
      <c r="Q84" s="8">
        <f t="shared" si="11"/>
        <v>13.333333333333336</v>
      </c>
      <c r="R84" s="8">
        <f t="shared" si="12"/>
        <v>0.14279627783327681</v>
      </c>
      <c r="S84" s="8">
        <f t="shared" si="13"/>
        <v>0.33920428371656813</v>
      </c>
      <c r="T84" s="8">
        <f>$M84*T$2*$AG$2/100</f>
        <v>0.76537730740794774</v>
      </c>
      <c r="U84" s="8">
        <f>$M84*U$2*$AG$2/100</f>
        <v>0.9977267030524456</v>
      </c>
      <c r="V84" s="8">
        <f>$M84*V$2*$AG$2/100</f>
        <v>1.2192945375025714</v>
      </c>
      <c r="W84" s="8">
        <f>$M84*W$2*$AG$2/100</f>
        <v>1.4900665328844687</v>
      </c>
      <c r="X84" s="8">
        <f>$M84*X$2*$AG$2/100</f>
        <v>1.8209695886689363</v>
      </c>
      <c r="Y84" s="8">
        <f>$M84*Y$2*$AG$2/100</f>
        <v>2.3737703828904517</v>
      </c>
      <c r="Z84" s="8">
        <f>$M84*Z$2*$AG$2/100</f>
        <v>2.9009970983834195</v>
      </c>
      <c r="AA84" s="8">
        <f>$N84*AA$2*$AG$2/100</f>
        <v>4.0369743880233973</v>
      </c>
      <c r="AB84" s="8">
        <f>$N84*AB$2*$AG$2/100</f>
        <v>5.278923516842597</v>
      </c>
      <c r="AC84" s="8">
        <f>$N84*AC$2*$AG$2/100</f>
        <v>5.6590064259757229</v>
      </c>
      <c r="AD84" s="8">
        <f t="shared" si="14"/>
        <v>9.9824893600000006</v>
      </c>
      <c r="AE84" s="8"/>
      <c r="AF84" s="8"/>
      <c r="AG84" s="7"/>
    </row>
    <row r="85" spans="1:33" x14ac:dyDescent="0.25">
      <c r="A85" s="7">
        <v>56.25</v>
      </c>
      <c r="B85" s="7">
        <v>87.104761104891566</v>
      </c>
      <c r="C85" s="7">
        <v>83.30226988363988</v>
      </c>
      <c r="D85" s="7">
        <v>80.888234307137282</v>
      </c>
      <c r="E85" s="7">
        <v>77.620732987113072</v>
      </c>
      <c r="F85" s="7">
        <v>68.700000000000017</v>
      </c>
      <c r="G85" s="7"/>
      <c r="H85" s="7"/>
      <c r="I85" s="7"/>
      <c r="J85" s="8">
        <f t="shared" si="10"/>
        <v>13.5</v>
      </c>
      <c r="K85" s="7">
        <f t="shared" si="15"/>
        <v>0.61077437114391842</v>
      </c>
      <c r="L85" s="7">
        <f t="shared" si="15"/>
        <v>0.73078429150370994</v>
      </c>
      <c r="M85" s="7">
        <f t="shared" si="15"/>
        <v>0.86012621268770317</v>
      </c>
      <c r="N85" s="7">
        <f t="shared" si="15"/>
        <v>0.97793139172614474</v>
      </c>
      <c r="O85" s="7">
        <f t="shared" si="15"/>
        <v>0.90000000000000568</v>
      </c>
      <c r="P85" s="7"/>
      <c r="Q85" s="8">
        <f t="shared" si="11"/>
        <v>13.5</v>
      </c>
      <c r="R85" s="8">
        <f t="shared" si="12"/>
        <v>0.12887500314986258</v>
      </c>
      <c r="S85" s="8">
        <f t="shared" si="13"/>
        <v>0.30901406610759768</v>
      </c>
      <c r="T85" s="8">
        <f>$M85*T$2*$AG$2/100</f>
        <v>0.69369317359060534</v>
      </c>
      <c r="U85" s="8">
        <f>$M85*U$2*$AG$2/100</f>
        <v>0.90428106022699628</v>
      </c>
      <c r="V85" s="8">
        <f>$M85*V$2*$AG$2/100</f>
        <v>1.1050971711276858</v>
      </c>
      <c r="W85" s="8">
        <f>$M85*W$2*$AG$2/100</f>
        <v>1.3505090522717054</v>
      </c>
      <c r="X85" s="8">
        <f>$M85*X$2*$AG$2/100</f>
        <v>1.6504202054980035</v>
      </c>
      <c r="Y85" s="8">
        <f>$M85*Y$2*$AG$2/100</f>
        <v>2.1514464752807028</v>
      </c>
      <c r="Z85" s="8">
        <f>$M85*Z$2*$AG$2/100</f>
        <v>2.6292938976333109</v>
      </c>
      <c r="AA85" s="8">
        <f>$N85*AA$2*$AG$2/100</f>
        <v>3.653275041963973</v>
      </c>
      <c r="AB85" s="8">
        <f>$N85*AB$2*$AG$2/100</f>
        <v>4.7771815421302026</v>
      </c>
      <c r="AC85" s="8">
        <f>$N85*AC$2*$AG$2/100</f>
        <v>5.1211389895523487</v>
      </c>
      <c r="AD85" s="8">
        <f t="shared" si="14"/>
        <v>8.9842404240000562</v>
      </c>
      <c r="AE85" s="8"/>
      <c r="AF85" s="8"/>
      <c r="AG85" s="7"/>
    </row>
    <row r="86" spans="1:33" x14ac:dyDescent="0.25">
      <c r="A86" s="7">
        <v>56.944444444444443</v>
      </c>
      <c r="B86" s="7">
        <v>87.661956927433309</v>
      </c>
      <c r="C86" s="7">
        <v>83.974443348655626</v>
      </c>
      <c r="D86" s="7">
        <v>81.675920216155077</v>
      </c>
      <c r="E86" s="7">
        <v>78.51598985870308</v>
      </c>
      <c r="F86" s="7">
        <v>69.600000000000023</v>
      </c>
      <c r="G86" s="7"/>
      <c r="H86" s="7"/>
      <c r="I86" s="7"/>
      <c r="J86" s="8">
        <f t="shared" si="10"/>
        <v>13.666666666666664</v>
      </c>
      <c r="K86" s="7">
        <f t="shared" si="15"/>
        <v>0.55719582254174327</v>
      </c>
      <c r="L86" s="7">
        <f t="shared" si="15"/>
        <v>0.67217346501574582</v>
      </c>
      <c r="M86" s="7">
        <f t="shared" si="15"/>
        <v>0.78768590901779589</v>
      </c>
      <c r="N86" s="7">
        <f t="shared" si="15"/>
        <v>0.89525687159000711</v>
      </c>
      <c r="O86" s="7">
        <f t="shared" si="15"/>
        <v>0.90000000000000568</v>
      </c>
      <c r="P86" s="7"/>
      <c r="Q86" s="8">
        <f t="shared" si="11"/>
        <v>13.666666666666664</v>
      </c>
      <c r="R86" s="8">
        <f t="shared" si="12"/>
        <v>0.11756978808830371</v>
      </c>
      <c r="S86" s="8">
        <f t="shared" si="13"/>
        <v>0.28423032346076943</v>
      </c>
      <c r="T86" s="8">
        <f>$M86*T$2*$AG$2/100</f>
        <v>0.63526995219892046</v>
      </c>
      <c r="U86" s="8">
        <f>$M86*U$2*$AG$2/100</f>
        <v>0.8281220109624744</v>
      </c>
      <c r="V86" s="8">
        <f>$M86*V$2*$AG$2/100</f>
        <v>1.0120252783282611</v>
      </c>
      <c r="W86" s="8">
        <f>$M86*W$2*$AG$2/100</f>
        <v>1.2367684355896256</v>
      </c>
      <c r="X86" s="8">
        <f>$M86*X$2*$AG$2/100</f>
        <v>1.5114209062025694</v>
      </c>
      <c r="Y86" s="8">
        <f>$M86*Y$2*$AG$2/100</f>
        <v>1.9702504674158978</v>
      </c>
      <c r="Z86" s="8">
        <f>$M86*Z$2*$AG$2/100</f>
        <v>2.407853316504148</v>
      </c>
      <c r="AA86" s="8">
        <f>$N86*AA$2*$AG$2/100</f>
        <v>3.3444264217283735</v>
      </c>
      <c r="AB86" s="8">
        <f>$N86*AB$2*$AG$2/100</f>
        <v>4.373317636195349</v>
      </c>
      <c r="AC86" s="8">
        <f>$N86*AC$2*$AG$2/100</f>
        <v>4.6881968505702014</v>
      </c>
      <c r="AD86" s="8">
        <f t="shared" si="14"/>
        <v>8.9842404240000562</v>
      </c>
      <c r="AE86" s="8"/>
      <c r="AF86" s="8"/>
      <c r="AG86" s="7"/>
    </row>
    <row r="87" spans="1:33" x14ac:dyDescent="0.25">
      <c r="A87" s="7">
        <v>57.638888888888886</v>
      </c>
      <c r="B87" s="7">
        <v>88.174738762354494</v>
      </c>
      <c r="C87" s="7">
        <v>84.597565964904504</v>
      </c>
      <c r="D87" s="7">
        <v>82.403385901692744</v>
      </c>
      <c r="E87" s="7">
        <v>79.343139195428165</v>
      </c>
      <c r="F87" s="7">
        <v>70.40000000000002</v>
      </c>
      <c r="G87" s="7"/>
      <c r="H87" s="7"/>
      <c r="I87" s="7"/>
      <c r="J87" s="8">
        <f t="shared" si="10"/>
        <v>13.833333333333332</v>
      </c>
      <c r="K87" s="7">
        <f t="shared" si="15"/>
        <v>0.51278183492118501</v>
      </c>
      <c r="L87" s="7">
        <f t="shared" si="15"/>
        <v>0.6231226162488781</v>
      </c>
      <c r="M87" s="7">
        <f t="shared" si="15"/>
        <v>0.72746568553766622</v>
      </c>
      <c r="N87" s="7">
        <f t="shared" si="15"/>
        <v>0.8271493367250855</v>
      </c>
      <c r="O87" s="7">
        <f t="shared" si="15"/>
        <v>0.79999999999999716</v>
      </c>
      <c r="P87" s="7"/>
      <c r="Q87" s="8">
        <f t="shared" si="11"/>
        <v>13.833333333333332</v>
      </c>
      <c r="R87" s="8">
        <f t="shared" si="12"/>
        <v>0.10819831956421154</v>
      </c>
      <c r="S87" s="8">
        <f t="shared" si="13"/>
        <v>0.26348904262085188</v>
      </c>
      <c r="T87" s="8">
        <f>$M87*T$2*$AG$2/100</f>
        <v>0.58670224512982516</v>
      </c>
      <c r="U87" s="8">
        <f>$M87*U$2*$AG$2/100</f>
        <v>0.7648103635176704</v>
      </c>
      <c r="V87" s="8">
        <f>$M87*V$2*$AG$2/100</f>
        <v>0.93465384419347641</v>
      </c>
      <c r="W87" s="8">
        <f>$M87*W$2*$AG$2/100</f>
        <v>1.1422149203728198</v>
      </c>
      <c r="X87" s="8">
        <f>$M87*X$2*$AG$2/100</f>
        <v>1.3958696392546133</v>
      </c>
      <c r="Y87" s="8">
        <f>$M87*Y$2*$AG$2/100</f>
        <v>1.819620727691895</v>
      </c>
      <c r="Z87" s="8">
        <f>$M87*Z$2*$AG$2/100</f>
        <v>2.2237679302261824</v>
      </c>
      <c r="AA87" s="8">
        <f>$N87*AA$2*$AG$2/100</f>
        <v>3.0899959377528821</v>
      </c>
      <c r="AB87" s="8">
        <f>$N87*AB$2*$AG$2/100</f>
        <v>4.0406132551012952</v>
      </c>
      <c r="AC87" s="8">
        <f>$N87*AC$2*$AG$2/100</f>
        <v>4.3315377278239717</v>
      </c>
      <c r="AD87" s="8">
        <f t="shared" si="14"/>
        <v>7.9859914879999723</v>
      </c>
      <c r="AE87" s="8"/>
      <c r="AF87" s="8"/>
      <c r="AG87" s="7"/>
    </row>
    <row r="88" spans="1:33" x14ac:dyDescent="0.25">
      <c r="A88" s="7">
        <v>58.333333333333336</v>
      </c>
      <c r="B88" s="7">
        <v>88.650075869836058</v>
      </c>
      <c r="C88" s="7">
        <v>85.178982026079225</v>
      </c>
      <c r="D88" s="7">
        <v>83.079961966101948</v>
      </c>
      <c r="E88" s="7">
        <v>80.11311649228584</v>
      </c>
      <c r="F88" s="7">
        <v>71.200000000000017</v>
      </c>
      <c r="G88" s="7"/>
      <c r="H88" s="7"/>
      <c r="I88" s="7"/>
      <c r="J88" s="8">
        <f t="shared" si="10"/>
        <v>14</v>
      </c>
      <c r="K88" s="7">
        <f t="shared" si="15"/>
        <v>0.47533710748156466</v>
      </c>
      <c r="L88" s="7">
        <f t="shared" si="15"/>
        <v>0.58141606117472122</v>
      </c>
      <c r="M88" s="7">
        <f t="shared" si="15"/>
        <v>0.67657606440920404</v>
      </c>
      <c r="N88" s="7">
        <f t="shared" si="15"/>
        <v>0.76997729685767524</v>
      </c>
      <c r="O88" s="7">
        <f t="shared" si="15"/>
        <v>0.79999999999999716</v>
      </c>
      <c r="P88" s="7"/>
      <c r="Q88" s="8">
        <f t="shared" si="11"/>
        <v>14</v>
      </c>
      <c r="R88" s="8">
        <f t="shared" si="12"/>
        <v>0.10029738331882065</v>
      </c>
      <c r="S88" s="8">
        <f t="shared" si="13"/>
        <v>0.24585331574953848</v>
      </c>
      <c r="T88" s="8">
        <f>$M88*T$2*$AG$2/100</f>
        <v>0.54565968386068753</v>
      </c>
      <c r="U88" s="8">
        <f>$M88*U$2*$AG$2/100</f>
        <v>0.71130830780796439</v>
      </c>
      <c r="V88" s="8">
        <f>$M88*V$2*$AG$2/100</f>
        <v>0.86927044403747833</v>
      </c>
      <c r="W88" s="8">
        <f>$M88*W$2*$AG$2/100</f>
        <v>1.0623116538674202</v>
      </c>
      <c r="X88" s="8">
        <f>$M88*X$2*$AG$2/100</f>
        <v>1.2982220408886662</v>
      </c>
      <c r="Y88" s="8">
        <f>$M88*Y$2*$AG$2/100</f>
        <v>1.692329762261275</v>
      </c>
      <c r="Z88" s="8">
        <f>$M88*Z$2*$AG$2/100</f>
        <v>2.0682049810773244</v>
      </c>
      <c r="AA88" s="8">
        <f>$N88*AA$2*$AG$2/100</f>
        <v>2.876417369651993</v>
      </c>
      <c r="AB88" s="8">
        <f>$N88*AB$2*$AG$2/100</f>
        <v>3.7613286182737182</v>
      </c>
      <c r="AC88" s="8">
        <f>$N88*AC$2*$AG$2/100</f>
        <v>4.0321445751402853</v>
      </c>
      <c r="AD88" s="8">
        <f t="shared" si="14"/>
        <v>7.9859914879999723</v>
      </c>
      <c r="AE88" s="8"/>
      <c r="AF88" s="8"/>
      <c r="AG88" s="7"/>
    </row>
    <row r="89" spans="1:33" x14ac:dyDescent="0.25">
      <c r="A89" s="7">
        <v>59.027777777777779</v>
      </c>
      <c r="B89" s="7">
        <v>89.093394345299174</v>
      </c>
      <c r="C89" s="7">
        <v>85.724461979963138</v>
      </c>
      <c r="D89" s="7">
        <v>83.712935633239354</v>
      </c>
      <c r="E89" s="7">
        <v>80.834349771535386</v>
      </c>
      <c r="F89" s="7">
        <v>72.000000000000014</v>
      </c>
      <c r="G89" s="7"/>
      <c r="H89" s="7"/>
      <c r="I89" s="7"/>
      <c r="J89" s="8">
        <f t="shared" si="10"/>
        <v>14.166666666666668</v>
      </c>
      <c r="K89" s="7">
        <f t="shared" si="15"/>
        <v>0.44331847546311565</v>
      </c>
      <c r="L89" s="7">
        <f t="shared" si="15"/>
        <v>0.54547995388391257</v>
      </c>
      <c r="M89" s="7">
        <f t="shared" si="15"/>
        <v>0.63297366713740644</v>
      </c>
      <c r="N89" s="7">
        <f t="shared" si="15"/>
        <v>0.72123327924954594</v>
      </c>
      <c r="O89" s="7">
        <f t="shared" si="15"/>
        <v>0.79999999999999716</v>
      </c>
      <c r="P89" s="7"/>
      <c r="Q89" s="8">
        <f t="shared" si="11"/>
        <v>14.166666666666668</v>
      </c>
      <c r="R89" s="8">
        <f t="shared" si="12"/>
        <v>9.3541367517922552E-2</v>
      </c>
      <c r="S89" s="8">
        <f t="shared" si="13"/>
        <v>0.23065763795087948</v>
      </c>
      <c r="T89" s="8">
        <f>$M89*T$2*$AG$2/100</f>
        <v>0.5104942803495941</v>
      </c>
      <c r="U89" s="8">
        <f>$M89*U$2*$AG$2/100</f>
        <v>0.66546756786565586</v>
      </c>
      <c r="V89" s="8">
        <f>$M89*V$2*$AG$2/100</f>
        <v>0.81324972850913513</v>
      </c>
      <c r="W89" s="8">
        <f>$M89*W$2*$AG$2/100</f>
        <v>0.99385026837806767</v>
      </c>
      <c r="X89" s="8">
        <f>$M89*X$2*$AG$2/100</f>
        <v>1.2145572526238606</v>
      </c>
      <c r="Y89" s="8">
        <f>$M89*Y$2*$AG$2/100</f>
        <v>1.5832664381346122</v>
      </c>
      <c r="Z89" s="8">
        <f>$M89*Z$2*$AG$2/100</f>
        <v>1.9349181269182296</v>
      </c>
      <c r="AA89" s="8">
        <f>$N89*AA$2*$AG$2/100</f>
        <v>2.6943235085903181</v>
      </c>
      <c r="AB89" s="8">
        <f>$N89*AB$2*$AG$2/100</f>
        <v>3.5232147555048727</v>
      </c>
      <c r="AC89" s="8">
        <f>$N89*AC$2*$AG$2/100</f>
        <v>3.7768864954913592</v>
      </c>
      <c r="AD89" s="8">
        <f t="shared" si="14"/>
        <v>7.9859914879999723</v>
      </c>
      <c r="AE89" s="8"/>
      <c r="AF89" s="8"/>
      <c r="AG89" s="7"/>
    </row>
    <row r="90" spans="1:33" x14ac:dyDescent="0.25">
      <c r="A90" s="7">
        <v>59.722222222222221</v>
      </c>
      <c r="B90" s="7">
        <v>89.509003512424712</v>
      </c>
      <c r="C90" s="7">
        <v>86.238626519089166</v>
      </c>
      <c r="D90" s="7">
        <v>84.308108495846284</v>
      </c>
      <c r="E90" s="7">
        <v>81.513478662780855</v>
      </c>
      <c r="F90" s="7">
        <v>72.700000000000017</v>
      </c>
      <c r="G90" s="7"/>
      <c r="H90" s="7"/>
      <c r="I90" s="7"/>
      <c r="J90" s="8">
        <f t="shared" si="10"/>
        <v>14.333333333333332</v>
      </c>
      <c r="K90" s="7">
        <f t="shared" si="15"/>
        <v>0.41560916712553819</v>
      </c>
      <c r="L90" s="7">
        <f t="shared" si="15"/>
        <v>0.51416453912602833</v>
      </c>
      <c r="M90" s="7">
        <f t="shared" si="15"/>
        <v>0.5951728626069297</v>
      </c>
      <c r="N90" s="7">
        <f t="shared" si="15"/>
        <v>0.67912889124546894</v>
      </c>
      <c r="O90" s="7">
        <f t="shared" si="15"/>
        <v>0.70000000000000284</v>
      </c>
      <c r="P90" s="7"/>
      <c r="Q90" s="8">
        <f t="shared" si="11"/>
        <v>14.333333333333332</v>
      </c>
      <c r="R90" s="8">
        <f t="shared" si="12"/>
        <v>8.7694630378972835E-2</v>
      </c>
      <c r="S90" s="8">
        <f t="shared" si="13"/>
        <v>0.21741583218317773</v>
      </c>
      <c r="T90" s="8">
        <f>$M90*T$2*$AG$2/100</f>
        <v>0.48000787071316864</v>
      </c>
      <c r="U90" s="8">
        <f>$M90*U$2*$AG$2/100</f>
        <v>0.6257262472384888</v>
      </c>
      <c r="V90" s="8">
        <f>$M90*V$2*$AG$2/100</f>
        <v>0.76468294663831249</v>
      </c>
      <c r="W90" s="8">
        <f>$M90*W$2*$AG$2/100</f>
        <v>0.93449813150731553</v>
      </c>
      <c r="X90" s="8">
        <f>$M90*X$2*$AG$2/100</f>
        <v>1.1420246281544435</v>
      </c>
      <c r="Y90" s="8">
        <f>$M90*Y$2*$AG$2/100</f>
        <v>1.4887147241300571</v>
      </c>
      <c r="Z90" s="8">
        <f>$M90*Z$2*$AG$2/100</f>
        <v>1.8193659867653997</v>
      </c>
      <c r="AA90" s="8">
        <f>$N90*AA$2*$AG$2/100</f>
        <v>2.5370334255089717</v>
      </c>
      <c r="AB90" s="8">
        <f>$N90*AB$2*$AG$2/100</f>
        <v>3.3175353930081513</v>
      </c>
      <c r="AC90" s="8">
        <f>$N90*AC$2*$AG$2/100</f>
        <v>3.5563982026896275</v>
      </c>
      <c r="AD90" s="8">
        <f t="shared" si="14"/>
        <v>6.9877425520000278</v>
      </c>
      <c r="AE90" s="8"/>
      <c r="AF90" s="8"/>
      <c r="AG90" s="7"/>
    </row>
    <row r="91" spans="1:33" x14ac:dyDescent="0.25">
      <c r="A91" s="7">
        <v>60.416666666666664</v>
      </c>
      <c r="B91" s="7">
        <v>89.900384299113256</v>
      </c>
      <c r="C91" s="7">
        <v>86.725236148474352</v>
      </c>
      <c r="D91" s="7">
        <v>84.870176151627959</v>
      </c>
      <c r="E91" s="7">
        <v>82.15583202907834</v>
      </c>
      <c r="F91" s="7">
        <v>73.40000000000002</v>
      </c>
      <c r="G91" s="7"/>
      <c r="H91" s="7"/>
      <c r="I91" s="7"/>
      <c r="J91" s="8">
        <f t="shared" si="10"/>
        <v>14.5</v>
      </c>
      <c r="K91" s="7">
        <f t="shared" si="15"/>
        <v>0.39138078668854348</v>
      </c>
      <c r="L91" s="7">
        <f t="shared" si="15"/>
        <v>0.48660962938518537</v>
      </c>
      <c r="M91" s="7">
        <f t="shared" si="15"/>
        <v>0.56206765578167506</v>
      </c>
      <c r="N91" s="7">
        <f t="shared" si="15"/>
        <v>0.64235336629748474</v>
      </c>
      <c r="O91" s="7">
        <f t="shared" si="15"/>
        <v>0.70000000000000284</v>
      </c>
      <c r="P91" s="7"/>
      <c r="Q91" s="8">
        <f t="shared" si="11"/>
        <v>14.5</v>
      </c>
      <c r="R91" s="8">
        <f t="shared" si="12"/>
        <v>8.2582378207543689E-2</v>
      </c>
      <c r="S91" s="8">
        <f t="shared" si="13"/>
        <v>0.20576416588541832</v>
      </c>
      <c r="T91" s="8">
        <f>$M91*T$2*$AG$2/100</f>
        <v>0.45330846817638948</v>
      </c>
      <c r="U91" s="8">
        <f>$M91*U$2*$AG$2/100</f>
        <v>0.59092157429004954</v>
      </c>
      <c r="V91" s="8">
        <f>$M91*V$2*$AG$2/100</f>
        <v>0.7221491069848649</v>
      </c>
      <c r="W91" s="8">
        <f>$M91*W$2*$AG$2/100</f>
        <v>0.88251868844961801</v>
      </c>
      <c r="X91" s="8">
        <f>$M91*X$2*$AG$2/100</f>
        <v>1.0785019713098616</v>
      </c>
      <c r="Y91" s="8">
        <f>$M91*Y$2*$AG$2/100</f>
        <v>1.4059081784312888</v>
      </c>
      <c r="Z91" s="8">
        <f>$M91*Z$2*$AG$2/100</f>
        <v>1.7181676777247537</v>
      </c>
      <c r="AA91" s="8">
        <f>$N91*AA$2*$AG$2/100</f>
        <v>2.3996504673748116</v>
      </c>
      <c r="AB91" s="8">
        <f>$N91*AB$2*$AG$2/100</f>
        <v>3.1378874540320232</v>
      </c>
      <c r="AC91" s="8">
        <f>$N91*AC$2*$AG$2/100</f>
        <v>3.3638155979529585</v>
      </c>
      <c r="AD91" s="8">
        <f t="shared" si="14"/>
        <v>6.9877425520000278</v>
      </c>
      <c r="AE91" s="8"/>
      <c r="AF91" s="8"/>
      <c r="AG91" s="7"/>
    </row>
    <row r="92" spans="1:33" x14ac:dyDescent="0.25">
      <c r="A92" s="7">
        <v>61.111111111111114</v>
      </c>
      <c r="B92" s="7">
        <v>90.270389988913266</v>
      </c>
      <c r="C92" s="7">
        <v>87.18739452275004</v>
      </c>
      <c r="D92" s="7">
        <v>85.402993813776106</v>
      </c>
      <c r="E92" s="7">
        <v>82.765755453119269</v>
      </c>
      <c r="F92" s="7">
        <v>74.100000000000023</v>
      </c>
      <c r="G92" s="7"/>
      <c r="H92" s="7"/>
      <c r="I92" s="7"/>
      <c r="J92" s="8">
        <f t="shared" si="10"/>
        <v>14.666666666666668</v>
      </c>
      <c r="K92" s="7">
        <f t="shared" si="15"/>
        <v>0.37000568980000992</v>
      </c>
      <c r="L92" s="7">
        <f t="shared" si="15"/>
        <v>0.46215837427568829</v>
      </c>
      <c r="M92" s="7">
        <f t="shared" si="15"/>
        <v>0.53281766214814752</v>
      </c>
      <c r="N92" s="7">
        <f t="shared" si="15"/>
        <v>0.60992342404092881</v>
      </c>
      <c r="O92" s="7">
        <f t="shared" si="15"/>
        <v>0.70000000000000284</v>
      </c>
      <c r="P92" s="7"/>
      <c r="Q92" s="8">
        <f t="shared" si="11"/>
        <v>14.666666666666668</v>
      </c>
      <c r="R92" s="8">
        <f t="shared" si="12"/>
        <v>7.8072176390006603E-2</v>
      </c>
      <c r="S92" s="8">
        <f t="shared" si="13"/>
        <v>0.19542488813866687</v>
      </c>
      <c r="T92" s="8">
        <f>$M92*T$2*$AG$2/100</f>
        <v>0.42971830127780919</v>
      </c>
      <c r="U92" s="8">
        <f>$M92*U$2*$AG$2/100</f>
        <v>0.56017002310559239</v>
      </c>
      <c r="V92" s="8">
        <f>$M92*V$2*$AG$2/100</f>
        <v>0.68456847667375209</v>
      </c>
      <c r="W92" s="8">
        <f>$M92*W$2*$AG$2/100</f>
        <v>0.83659242716578563</v>
      </c>
      <c r="X92" s="8">
        <f>$M92*X$2*$AG$2/100</f>
        <v>1.0223767424872059</v>
      </c>
      <c r="Y92" s="8">
        <f>$M92*Y$2*$AG$2/100</f>
        <v>1.3327447347685335</v>
      </c>
      <c r="Z92" s="8">
        <f>$M92*Z$2*$AG$2/100</f>
        <v>1.6287542537039577</v>
      </c>
      <c r="AA92" s="8">
        <f>$N92*AA$2*$AG$2/100</f>
        <v>2.2785013768960938</v>
      </c>
      <c r="AB92" s="8">
        <f>$N92*AB$2*$AG$2/100</f>
        <v>2.9794676273743352</v>
      </c>
      <c r="AC92" s="8">
        <f>$N92*AC$2*$AG$2/100</f>
        <v>3.1939895312941973</v>
      </c>
      <c r="AD92" s="8">
        <f t="shared" si="14"/>
        <v>6.9877425520000278</v>
      </c>
      <c r="AE92" s="8"/>
      <c r="AF92" s="8"/>
      <c r="AG92" s="7"/>
    </row>
    <row r="93" spans="1:33" x14ac:dyDescent="0.25">
      <c r="A93" s="7">
        <v>61.805555555555557</v>
      </c>
      <c r="B93" s="7">
        <v>90.621389476208591</v>
      </c>
      <c r="C93" s="7">
        <v>87.627694718602584</v>
      </c>
      <c r="D93" s="7">
        <v>85.909766635298752</v>
      </c>
      <c r="E93" s="7">
        <v>83.346841975196355</v>
      </c>
      <c r="F93" s="7">
        <v>74.800000000000026</v>
      </c>
      <c r="G93" s="7"/>
      <c r="H93" s="7"/>
      <c r="I93" s="7"/>
      <c r="J93" s="8">
        <f t="shared" si="10"/>
        <v>14.833333333333336</v>
      </c>
      <c r="K93" s="7">
        <f t="shared" si="15"/>
        <v>0.35099948729532571</v>
      </c>
      <c r="L93" s="7">
        <f t="shared" si="15"/>
        <v>0.44030019585254365</v>
      </c>
      <c r="M93" s="7">
        <f t="shared" si="15"/>
        <v>0.50677282152264524</v>
      </c>
      <c r="N93" s="7">
        <f t="shared" si="15"/>
        <v>0.58108652207708644</v>
      </c>
      <c r="O93" s="7">
        <f t="shared" si="15"/>
        <v>0.70000000000000284</v>
      </c>
      <c r="P93" s="7"/>
      <c r="Q93" s="8">
        <f t="shared" si="11"/>
        <v>14.833333333333336</v>
      </c>
      <c r="R93" s="8">
        <f t="shared" si="12"/>
        <v>7.4061817535114607E-2</v>
      </c>
      <c r="S93" s="8">
        <f t="shared" si="13"/>
        <v>0.18618209971153354</v>
      </c>
      <c r="T93" s="8">
        <f>$M93*T$2*$AG$2/100</f>
        <v>0.4087130954339942</v>
      </c>
      <c r="U93" s="8">
        <f>$M93*U$2*$AG$2/100</f>
        <v>0.53278816245902738</v>
      </c>
      <c r="V93" s="8">
        <f>$M93*V$2*$AG$2/100</f>
        <v>0.65110585308066771</v>
      </c>
      <c r="W93" s="8">
        <f>$M93*W$2*$AG$2/100</f>
        <v>0.79569866935342404</v>
      </c>
      <c r="X93" s="8">
        <f>$M93*X$2*$AG$2/100</f>
        <v>0.97240159862664854</v>
      </c>
      <c r="Y93" s="8">
        <f>$M93*Y$2*$AG$2/100</f>
        <v>1.2675983879459081</v>
      </c>
      <c r="Z93" s="8">
        <f>$M93*Z$2*$AG$2/100</f>
        <v>1.5491385653185494</v>
      </c>
      <c r="AA93" s="8">
        <f>$N93*AA$2*$AG$2/100</f>
        <v>2.1707748685506409</v>
      </c>
      <c r="AB93" s="8">
        <f>$N93*AB$2*$AG$2/100</f>
        <v>2.8385997536570109</v>
      </c>
      <c r="AC93" s="8">
        <f>$N93*AC$2*$AG$2/100</f>
        <v>3.0429791595704034</v>
      </c>
      <c r="AD93" s="8">
        <f t="shared" si="14"/>
        <v>6.9877425520000278</v>
      </c>
      <c r="AE93" s="8"/>
      <c r="AF93" s="8"/>
      <c r="AG93" s="7"/>
    </row>
    <row r="94" spans="1:33" x14ac:dyDescent="0.25">
      <c r="A94" s="7">
        <v>62.5</v>
      </c>
      <c r="B94" s="7">
        <v>90.95537175346432</v>
      </c>
      <c r="C94" s="7">
        <v>88.048326704888041</v>
      </c>
      <c r="D94" s="7">
        <v>86.393188970322981</v>
      </c>
      <c r="E94" s="7">
        <v>83.902098543171761</v>
      </c>
      <c r="F94" s="7">
        <v>75.40000000000002</v>
      </c>
      <c r="G94" s="7"/>
      <c r="H94" s="7"/>
      <c r="I94" s="7"/>
      <c r="J94" s="8">
        <f t="shared" si="10"/>
        <v>15</v>
      </c>
      <c r="K94" s="7">
        <f t="shared" si="15"/>
        <v>0.33398227725572838</v>
      </c>
      <c r="L94" s="7">
        <f t="shared" si="15"/>
        <v>0.42063198628545706</v>
      </c>
      <c r="M94" s="7">
        <f t="shared" si="15"/>
        <v>0.48342233502422971</v>
      </c>
      <c r="N94" s="7">
        <f t="shared" si="15"/>
        <v>0.55525656797540535</v>
      </c>
      <c r="O94" s="7">
        <f t="shared" si="15"/>
        <v>0.59999999999999432</v>
      </c>
      <c r="P94" s="7"/>
      <c r="Q94" s="8">
        <f t="shared" si="11"/>
        <v>15</v>
      </c>
      <c r="R94" s="8">
        <f t="shared" si="12"/>
        <v>7.0471141336066592E-2</v>
      </c>
      <c r="S94" s="8">
        <f t="shared" si="13"/>
        <v>0.1778653453942291</v>
      </c>
      <c r="T94" s="8">
        <f>$M94*T$2*$AG$2/100</f>
        <v>0.38988089052611791</v>
      </c>
      <c r="U94" s="8">
        <f>$M94*U$2*$AG$2/100</f>
        <v>0.50823897144946339</v>
      </c>
      <c r="V94" s="8">
        <f>$M94*V$2*$AG$2/100</f>
        <v>0.62110495763856655</v>
      </c>
      <c r="W94" s="8">
        <f>$M94*W$2*$AG$2/100</f>
        <v>0.75903539491080663</v>
      </c>
      <c r="X94" s="8">
        <f>$M94*X$2*$AG$2/100</f>
        <v>0.92759641287981454</v>
      </c>
      <c r="Y94" s="8">
        <f>$M94*Y$2*$AG$2/100</f>
        <v>1.2091914691332313</v>
      </c>
      <c r="Z94" s="8">
        <f>$M94*Z$2*$AG$2/100</f>
        <v>1.4777591668635177</v>
      </c>
      <c r="AA94" s="8">
        <f>$N94*AA$2*$AG$2/100</f>
        <v>2.0742814668119105</v>
      </c>
      <c r="AB94" s="8">
        <f>$N94*AB$2*$AG$2/100</f>
        <v>2.7124207793316049</v>
      </c>
      <c r="AC94" s="8">
        <f>$N94*AC$2*$AG$2/100</f>
        <v>2.907715289152069</v>
      </c>
      <c r="AD94" s="8">
        <f t="shared" si="14"/>
        <v>5.9894936159999439</v>
      </c>
      <c r="AE94" s="8"/>
      <c r="AF94" s="8"/>
      <c r="AG94" s="7"/>
    </row>
    <row r="95" spans="1:33" x14ac:dyDescent="0.25">
      <c r="A95" s="7">
        <v>63.194444444444443</v>
      </c>
      <c r="B95" s="7">
        <v>91.274023577519813</v>
      </c>
      <c r="C95" s="7">
        <v>88.451157781628837</v>
      </c>
      <c r="D95" s="7">
        <v>86.855548173226865</v>
      </c>
      <c r="E95" s="7">
        <v>84.434068589963104</v>
      </c>
      <c r="F95" s="7">
        <v>76.000000000000014</v>
      </c>
      <c r="G95" s="7"/>
      <c r="H95" s="7"/>
      <c r="I95" s="7"/>
      <c r="J95" s="8">
        <f t="shared" si="10"/>
        <v>15.166666666666664</v>
      </c>
      <c r="K95" s="7">
        <f t="shared" si="15"/>
        <v>0.31865182405549319</v>
      </c>
      <c r="L95" s="7">
        <f t="shared" si="15"/>
        <v>0.40283107674079588</v>
      </c>
      <c r="M95" s="7">
        <f t="shared" si="15"/>
        <v>0.46235920290388322</v>
      </c>
      <c r="N95" s="7">
        <f t="shared" si="15"/>
        <v>0.53197004679134352</v>
      </c>
      <c r="O95" s="7">
        <f t="shared" si="15"/>
        <v>0.59999999999999432</v>
      </c>
      <c r="P95" s="7"/>
      <c r="Q95" s="8">
        <f t="shared" si="11"/>
        <v>15.166666666666664</v>
      </c>
      <c r="R95" s="8">
        <f t="shared" si="12"/>
        <v>6.7236375278727251E-2</v>
      </c>
      <c r="S95" s="8">
        <f t="shared" si="13"/>
        <v>0.17033818381897048</v>
      </c>
      <c r="T95" s="8">
        <f>$M95*T$2*$AG$2/100</f>
        <v>0.37289344060215363</v>
      </c>
      <c r="U95" s="8">
        <f>$M95*U$2*$AG$2/100</f>
        <v>0.48609455686875819</v>
      </c>
      <c r="V95" s="8">
        <f>$M95*V$2*$AG$2/100</f>
        <v>0.5940428737514255</v>
      </c>
      <c r="W95" s="8">
        <f>$M95*W$2*$AG$2/100</f>
        <v>0.72596356175641918</v>
      </c>
      <c r="X95" s="8">
        <f>$M95*X$2*$AG$2/100</f>
        <v>0.8871802293828982</v>
      </c>
      <c r="Y95" s="8">
        <f>$M95*Y$2*$AG$2/100</f>
        <v>1.1565059438112113</v>
      </c>
      <c r="Z95" s="8">
        <f>$M95*Z$2*$AG$2/100</f>
        <v>1.4133719130719871</v>
      </c>
      <c r="AA95" s="8">
        <f>$N95*AA$2*$AG$2/100</f>
        <v>1.9872896109663409</v>
      </c>
      <c r="AB95" s="8">
        <f>$N95*AB$2*$AG$2/100</f>
        <v>2.5986664402009558</v>
      </c>
      <c r="AC95" s="8">
        <f>$N95*AC$2*$AG$2/100</f>
        <v>2.7857706286414361</v>
      </c>
      <c r="AD95" s="8">
        <f t="shared" si="14"/>
        <v>5.9894936159999439</v>
      </c>
      <c r="AE95" s="8"/>
      <c r="AF95" s="8"/>
      <c r="AG95" s="7"/>
    </row>
    <row r="96" spans="1:33" x14ac:dyDescent="0.25">
      <c r="A96" s="7">
        <v>63.888888888888886</v>
      </c>
      <c r="B96" s="7">
        <v>91.578788190232657</v>
      </c>
      <c r="C96" s="7">
        <v>88.83779377330265</v>
      </c>
      <c r="D96" s="7">
        <v>87.298803248666516</v>
      </c>
      <c r="E96" s="7">
        <v>84.944923959625129</v>
      </c>
      <c r="F96" s="7">
        <v>76.600000000000009</v>
      </c>
      <c r="G96" s="7"/>
      <c r="H96" s="7"/>
      <c r="I96" s="7"/>
      <c r="J96" s="8">
        <f t="shared" si="10"/>
        <v>15.333333333333332</v>
      </c>
      <c r="K96" s="7">
        <f t="shared" si="15"/>
        <v>0.3047646127128445</v>
      </c>
      <c r="L96" s="7">
        <f t="shared" si="15"/>
        <v>0.38663599167381335</v>
      </c>
      <c r="M96" s="7">
        <f t="shared" si="15"/>
        <v>0.44325507543965159</v>
      </c>
      <c r="N96" s="7">
        <f t="shared" si="15"/>
        <v>0.51085536966202483</v>
      </c>
      <c r="O96" s="7">
        <f t="shared" si="15"/>
        <v>0.59999999999999432</v>
      </c>
      <c r="P96" s="7"/>
      <c r="Q96" s="8">
        <f t="shared" si="11"/>
        <v>15.333333333333332</v>
      </c>
      <c r="R96" s="8">
        <f t="shared" si="12"/>
        <v>6.4306137059702617E-2</v>
      </c>
      <c r="S96" s="8">
        <f t="shared" si="13"/>
        <v>0.16349004936166145</v>
      </c>
      <c r="T96" s="8">
        <f>$M96*T$2*$AG$2/100</f>
        <v>0.35748593108336862</v>
      </c>
      <c r="U96" s="8">
        <f>$M96*U$2*$AG$2/100</f>
        <v>0.46600971305951661</v>
      </c>
      <c r="V96" s="8">
        <f>$M96*V$2*$AG$2/100</f>
        <v>0.56949773501926759</v>
      </c>
      <c r="W96" s="8">
        <f>$M96*W$2*$AG$2/100</f>
        <v>0.695967618491794</v>
      </c>
      <c r="X96" s="8">
        <f>$M96*X$2*$AG$2/100</f>
        <v>0.85052300686103888</v>
      </c>
      <c r="Y96" s="8">
        <f>$M96*Y$2*$AG$2/100</f>
        <v>1.1087205059418068</v>
      </c>
      <c r="Z96" s="8">
        <f>$M96*Z$2*$AG$2/100</f>
        <v>1.3549730815745091</v>
      </c>
      <c r="AA96" s="8">
        <f>$N96*AA$2*$AG$2/100</f>
        <v>1.9084111501373946</v>
      </c>
      <c r="AB96" s="8">
        <f>$N96*AB$2*$AG$2/100</f>
        <v>2.4955215297260223</v>
      </c>
      <c r="AC96" s="8">
        <f>$N96*AC$2*$AG$2/100</f>
        <v>2.6751992764856358</v>
      </c>
      <c r="AD96" s="8">
        <f t="shared" si="14"/>
        <v>5.9894936159999439</v>
      </c>
      <c r="AE96" s="8"/>
      <c r="AF96" s="8"/>
      <c r="AG96" s="7"/>
    </row>
    <row r="97" spans="1:33" x14ac:dyDescent="0.25">
      <c r="A97" s="7">
        <v>64.583333333333343</v>
      </c>
      <c r="B97" s="7">
        <v>91.870910396806565</v>
      </c>
      <c r="C97" s="7">
        <v>89.209626287204784</v>
      </c>
      <c r="D97" s="7">
        <v>87.724645329793645</v>
      </c>
      <c r="E97" s="7">
        <v>85.436534971892669</v>
      </c>
      <c r="F97" s="7">
        <v>77.2</v>
      </c>
      <c r="G97" s="7"/>
      <c r="H97" s="7"/>
      <c r="I97" s="7"/>
      <c r="J97" s="8">
        <f t="shared" si="10"/>
        <v>15.500000000000002</v>
      </c>
      <c r="K97" s="7">
        <f t="shared" si="15"/>
        <v>0.29212220657390731</v>
      </c>
      <c r="L97" s="7">
        <f t="shared" si="15"/>
        <v>0.37183251390213456</v>
      </c>
      <c r="M97" s="7">
        <f t="shared" si="15"/>
        <v>0.42584208112712929</v>
      </c>
      <c r="N97" s="7">
        <f t="shared" si="15"/>
        <v>0.49161101226754056</v>
      </c>
      <c r="O97" s="7">
        <f t="shared" si="15"/>
        <v>0.59999999999999432</v>
      </c>
      <c r="P97" s="7"/>
      <c r="Q97" s="8">
        <f t="shared" si="11"/>
        <v>15.500000000000002</v>
      </c>
      <c r="R97" s="8">
        <f t="shared" si="12"/>
        <v>6.1638556021673979E-2</v>
      </c>
      <c r="S97" s="8">
        <f t="shared" si="13"/>
        <v>0.15723035972144339</v>
      </c>
      <c r="T97" s="8">
        <f>$M97*T$2*$AG$2/100</f>
        <v>0.34344232317073015</v>
      </c>
      <c r="U97" s="8">
        <f>$M97*U$2*$AG$2/100</f>
        <v>0.44770281725006233</v>
      </c>
      <c r="V97" s="8">
        <f>$M97*V$2*$AG$2/100</f>
        <v>0.54712537794913418</v>
      </c>
      <c r="W97" s="8">
        <f>$M97*W$2*$AG$2/100</f>
        <v>0.66862697231763135</v>
      </c>
      <c r="X97" s="8">
        <f>$M97*X$2*$AG$2/100</f>
        <v>0.81711075034835057</v>
      </c>
      <c r="Y97" s="8">
        <f>$M97*Y$2*$AG$2/100</f>
        <v>1.0651651245510978</v>
      </c>
      <c r="Z97" s="8">
        <f>$M97*Z$2*$AG$2/100</f>
        <v>1.3017438240422059</v>
      </c>
      <c r="AA97" s="8">
        <f>$N97*AA$2*$AG$2/100</f>
        <v>1.8365196747611834</v>
      </c>
      <c r="AB97" s="8">
        <f>$N97*AB$2*$AG$2/100</f>
        <v>2.4015131057068126</v>
      </c>
      <c r="AC97" s="8">
        <f>$N97*AC$2*$AG$2/100</f>
        <v>2.5744222385302247</v>
      </c>
      <c r="AD97" s="8">
        <f t="shared" si="14"/>
        <v>5.9894936159999439</v>
      </c>
      <c r="AE97" s="8"/>
      <c r="AF97" s="8"/>
      <c r="AG97" s="7"/>
    </row>
    <row r="98" spans="1:33" x14ac:dyDescent="0.25">
      <c r="A98" s="7">
        <v>65.277777777777786</v>
      </c>
      <c r="B98" s="7">
        <v>92.151471627920458</v>
      </c>
      <c r="C98" s="7">
        <v>89.567869679234306</v>
      </c>
      <c r="D98" s="7">
        <v>88.134544803973938</v>
      </c>
      <c r="E98" s="7">
        <v>85.910524600537599</v>
      </c>
      <c r="F98" s="7">
        <v>77.8</v>
      </c>
      <c r="G98" s="7"/>
      <c r="H98" s="7"/>
      <c r="I98" s="7"/>
      <c r="J98" s="8">
        <f t="shared" si="10"/>
        <v>15.66666666666667</v>
      </c>
      <c r="K98" s="7">
        <f t="shared" si="15"/>
        <v>0.28056123111389297</v>
      </c>
      <c r="L98" s="7">
        <f t="shared" si="15"/>
        <v>0.3582433920295216</v>
      </c>
      <c r="M98" s="7">
        <f t="shared" si="15"/>
        <v>0.4098994741802926</v>
      </c>
      <c r="N98" s="7">
        <f t="shared" si="15"/>
        <v>0.47398962864492944</v>
      </c>
      <c r="O98" s="7">
        <f t="shared" si="15"/>
        <v>0.59999999999999432</v>
      </c>
      <c r="P98" s="7"/>
      <c r="Q98" s="8">
        <f t="shared" si="11"/>
        <v>15.66666666666667</v>
      </c>
      <c r="R98" s="8">
        <f t="shared" si="12"/>
        <v>5.9199159709031786E-2</v>
      </c>
      <c r="S98" s="8">
        <f t="shared" si="13"/>
        <v>0.15148416367767345</v>
      </c>
      <c r="T98" s="8">
        <f>$M98*T$2*$AG$2/100</f>
        <v>0.33058458503285743</v>
      </c>
      <c r="U98" s="8">
        <f>$M98*U$2*$AG$2/100</f>
        <v>0.43094179160056018</v>
      </c>
      <c r="V98" s="8">
        <f>$M98*V$2*$AG$2/100</f>
        <v>0.52664218655528383</v>
      </c>
      <c r="W98" s="8">
        <f>$M98*W$2*$AG$2/100</f>
        <v>0.64359502388853485</v>
      </c>
      <c r="X98" s="8">
        <f>$M98*X$2*$AG$2/100</f>
        <v>0.78651989025683799</v>
      </c>
      <c r="Y98" s="8">
        <f>$M98*Y$2*$AG$2/100</f>
        <v>1.0252876449247317</v>
      </c>
      <c r="Z98" s="8">
        <f>$M98*Z$2*$AG$2/100</f>
        <v>1.2530093493344763</v>
      </c>
      <c r="AA98" s="8">
        <f>$N98*AA$2*$AG$2/100</f>
        <v>1.7706911702893837</v>
      </c>
      <c r="AB98" s="8">
        <f>$N98*AB$2*$AG$2/100</f>
        <v>2.3154328864798317</v>
      </c>
      <c r="AC98" s="8">
        <f>$N98*AC$2*$AG$2/100</f>
        <v>2.4821442367367377</v>
      </c>
      <c r="AD98" s="8">
        <f t="shared" si="14"/>
        <v>5.9894936159999439</v>
      </c>
      <c r="AE98" s="8"/>
      <c r="AF98" s="8"/>
      <c r="AG98" s="7"/>
    </row>
    <row r="99" spans="1:33" x14ac:dyDescent="0.25">
      <c r="A99" s="7">
        <v>65.972222222222214</v>
      </c>
      <c r="B99" s="7">
        <v>92.421417564875469</v>
      </c>
      <c r="C99" s="7">
        <v>89.913590324650684</v>
      </c>
      <c r="D99" s="7">
        <v>88.529788477417952</v>
      </c>
      <c r="E99" s="7">
        <v>86.368310918353387</v>
      </c>
      <c r="F99" s="7">
        <v>78.399999999999991</v>
      </c>
      <c r="G99" s="7"/>
      <c r="H99" s="7"/>
      <c r="I99" s="7"/>
      <c r="J99" s="8">
        <f t="shared" si="10"/>
        <v>15.83333333333333</v>
      </c>
      <c r="K99" s="7">
        <f t="shared" si="15"/>
        <v>0.26994593695501123</v>
      </c>
      <c r="L99" s="7">
        <f t="shared" si="15"/>
        <v>0.34572064541637815</v>
      </c>
      <c r="M99" s="7">
        <f t="shared" si="15"/>
        <v>0.39524367344401412</v>
      </c>
      <c r="N99" s="7">
        <f t="shared" si="15"/>
        <v>0.45778631781578838</v>
      </c>
      <c r="O99" s="7">
        <f t="shared" si="15"/>
        <v>0.59999999999999432</v>
      </c>
      <c r="P99" s="7"/>
      <c r="Q99" s="8">
        <f t="shared" si="11"/>
        <v>15.83333333333333</v>
      </c>
      <c r="R99" s="8">
        <f t="shared" si="12"/>
        <v>5.6959304645040822E-2</v>
      </c>
      <c r="S99" s="8">
        <f t="shared" si="13"/>
        <v>0.14618888722639664</v>
      </c>
      <c r="T99" s="8">
        <f>$M99*T$2*$AG$2/100</f>
        <v>0.3187646581729468</v>
      </c>
      <c r="U99" s="8">
        <f>$M99*U$2*$AG$2/100</f>
        <v>0.41553363075999594</v>
      </c>
      <c r="V99" s="8">
        <f>$M99*V$2*$AG$2/100</f>
        <v>0.5078122942727743</v>
      </c>
      <c r="W99" s="8">
        <f>$M99*W$2*$AG$2/100</f>
        <v>0.62058352712134945</v>
      </c>
      <c r="X99" s="8">
        <f>$M99*X$2*$AG$2/100</f>
        <v>0.75839816892558876</v>
      </c>
      <c r="Y99" s="8">
        <f>$M99*Y$2*$AG$2/100</f>
        <v>0.98862887279179679</v>
      </c>
      <c r="Z99" s="8">
        <f>$M99*Z$2*$AG$2/100</f>
        <v>1.2082084737508623</v>
      </c>
      <c r="AA99" s="8">
        <f>$N99*AA$2*$AG$2/100</f>
        <v>1.7101601846291314</v>
      </c>
      <c r="AB99" s="8">
        <f>$N99*AB$2*$AG$2/100</f>
        <v>2.2362799335536128</v>
      </c>
      <c r="AC99" s="8">
        <f>$N99*AC$2*$AG$2/100</f>
        <v>2.3972922649634585</v>
      </c>
      <c r="AD99" s="8">
        <f t="shared" si="14"/>
        <v>5.9894936159999439</v>
      </c>
      <c r="AE99" s="8"/>
      <c r="AF99" s="8"/>
      <c r="AG99" s="7"/>
    </row>
    <row r="100" spans="1:33" x14ac:dyDescent="0.25">
      <c r="A100" s="7">
        <v>66.666666666666657</v>
      </c>
      <c r="B100" s="7">
        <v>92.681580124517055</v>
      </c>
      <c r="C100" s="7">
        <v>90.247730041186642</v>
      </c>
      <c r="D100" s="7">
        <v>88.911509205902533</v>
      </c>
      <c r="E100" s="7">
        <v>86.811140741810448</v>
      </c>
      <c r="F100" s="7">
        <v>78.999999999999986</v>
      </c>
      <c r="G100" s="7"/>
      <c r="H100" s="7"/>
      <c r="I100" s="7"/>
      <c r="J100" s="8">
        <f t="shared" si="10"/>
        <v>15.999999999999998</v>
      </c>
      <c r="K100" s="7">
        <f t="shared" si="15"/>
        <v>0.26016255964158574</v>
      </c>
      <c r="L100" s="7">
        <f t="shared" si="15"/>
        <v>0.33413971653595809</v>
      </c>
      <c r="M100" s="7">
        <f t="shared" si="15"/>
        <v>0.38172072848458072</v>
      </c>
      <c r="N100" s="7">
        <f t="shared" si="15"/>
        <v>0.44282982345706046</v>
      </c>
      <c r="O100" s="7">
        <f t="shared" si="15"/>
        <v>0.59999999999999432</v>
      </c>
      <c r="P100" s="7"/>
      <c r="Q100" s="8">
        <f t="shared" si="11"/>
        <v>15.999999999999998</v>
      </c>
      <c r="R100" s="8">
        <f t="shared" si="12"/>
        <v>5.4894986229514331E-2</v>
      </c>
      <c r="S100" s="8">
        <f t="shared" si="13"/>
        <v>0.14129186088873713</v>
      </c>
      <c r="T100" s="8">
        <f>$M100*T$2*$AG$2/100</f>
        <v>0.30785838131866095</v>
      </c>
      <c r="U100" s="8">
        <f>$M100*U$2*$AG$2/100</f>
        <v>0.40131648120110003</v>
      </c>
      <c r="V100" s="8">
        <f>$M100*V$2*$AG$2/100</f>
        <v>0.49043790432913098</v>
      </c>
      <c r="W100" s="8">
        <f>$M100*W$2*$AG$2/100</f>
        <v>0.59935075998590848</v>
      </c>
      <c r="X100" s="8">
        <f>$M100*X$2*$AG$2/100</f>
        <v>0.73245018446741739</v>
      </c>
      <c r="Y100" s="8">
        <f>$M100*Y$2*$AG$2/100</f>
        <v>0.95480372964509963</v>
      </c>
      <c r="Z100" s="8">
        <f>$M100*Z$2*$AG$2/100</f>
        <v>1.1668705908502059</v>
      </c>
      <c r="AA100" s="8">
        <f>$N100*AA$2*$AG$2/100</f>
        <v>1.6542869526025266</v>
      </c>
      <c r="AB100" s="8">
        <f>$N100*AB$2*$AG$2/100</f>
        <v>2.1632176621202626</v>
      </c>
      <c r="AC100" s="8">
        <f>$N100*AC$2*$AG$2/100</f>
        <v>2.3189695042304126</v>
      </c>
      <c r="AD100" s="8">
        <f t="shared" si="14"/>
        <v>5.9894936159999439</v>
      </c>
      <c r="AE100" s="8"/>
      <c r="AF100" s="8"/>
      <c r="AG100" s="7"/>
    </row>
    <row r="101" spans="1:33" x14ac:dyDescent="0.25">
      <c r="A101" s="7">
        <v>67.361111111111114</v>
      </c>
      <c r="B101" s="7">
        <v>92.932695165990651</v>
      </c>
      <c r="C101" s="7">
        <v>90.571125020230383</v>
      </c>
      <c r="D101" s="7">
        <v>89.280709755513882</v>
      </c>
      <c r="E101" s="7">
        <v>87.240116588497116</v>
      </c>
      <c r="F101" s="7">
        <v>79.499999999999986</v>
      </c>
      <c r="G101" s="7"/>
      <c r="H101" s="7"/>
      <c r="I101" s="7"/>
      <c r="J101" s="8">
        <f t="shared" si="10"/>
        <v>16.166666666666668</v>
      </c>
      <c r="K101" s="7">
        <f t="shared" si="15"/>
        <v>0.25111504147359653</v>
      </c>
      <c r="L101" s="7">
        <f t="shared" si="15"/>
        <v>0.3233949790437407</v>
      </c>
      <c r="M101" s="7">
        <f t="shared" si="15"/>
        <v>0.36920054961134952</v>
      </c>
      <c r="N101" s="7">
        <f t="shared" si="15"/>
        <v>0.42897584668666866</v>
      </c>
      <c r="O101" s="7">
        <f t="shared" si="15"/>
        <v>0.5</v>
      </c>
      <c r="P101" s="7"/>
      <c r="Q101" s="8">
        <f t="shared" si="11"/>
        <v>16.166666666666668</v>
      </c>
      <c r="R101" s="8">
        <f t="shared" si="12"/>
        <v>5.2985936034408321E-2</v>
      </c>
      <c r="S101" s="8">
        <f t="shared" si="13"/>
        <v>0.13674842028618006</v>
      </c>
      <c r="T101" s="8">
        <f>$M101*T$2*$AG$2/100</f>
        <v>0.29776083692531591</v>
      </c>
      <c r="U101" s="8">
        <f>$M101*U$2*$AG$2/100</f>
        <v>0.38815357503836467</v>
      </c>
      <c r="V101" s="8">
        <f>$M101*V$2*$AG$2/100</f>
        <v>0.47435187642912552</v>
      </c>
      <c r="W101" s="8">
        <f>$M101*W$2*$AG$2/100</f>
        <v>0.57969246489509374</v>
      </c>
      <c r="X101" s="8">
        <f>$M101*X$2*$AG$2/100</f>
        <v>0.70842631926714528</v>
      </c>
      <c r="Y101" s="8">
        <f>$M101*Y$2*$AG$2/100</f>
        <v>0.92348682020860362</v>
      </c>
      <c r="Z101" s="8">
        <f>$M101*Z$2*$AG$2/100</f>
        <v>1.1285980333777403</v>
      </c>
      <c r="AA101" s="8">
        <f>$N101*AA$2*$AG$2/100</f>
        <v>1.6025324144054398</v>
      </c>
      <c r="AB101" s="8">
        <f>$N101*AB$2*$AG$2/100</f>
        <v>2.0955411741042713</v>
      </c>
      <c r="AC101" s="8">
        <f>$N101*AC$2*$AG$2/100</f>
        <v>2.2464203037451154</v>
      </c>
      <c r="AD101" s="8">
        <f t="shared" si="14"/>
        <v>4.9912446800000003</v>
      </c>
      <c r="AE101" s="8"/>
      <c r="AF101" s="8"/>
      <c r="AG101" s="7"/>
    </row>
    <row r="102" spans="1:33" x14ac:dyDescent="0.25">
      <c r="A102" s="7">
        <v>68.055555555555557</v>
      </c>
      <c r="B102" s="7">
        <v>93.175416853934308</v>
      </c>
      <c r="C102" s="7">
        <v>90.884521271113002</v>
      </c>
      <c r="D102" s="7">
        <v>89.638282193408372</v>
      </c>
      <c r="E102" s="7">
        <v>87.656218486855337</v>
      </c>
      <c r="F102" s="7">
        <v>79.999999999999986</v>
      </c>
      <c r="G102" s="7"/>
      <c r="H102" s="7"/>
      <c r="I102" s="7"/>
      <c r="J102" s="8">
        <f t="shared" si="10"/>
        <v>16.333333333333336</v>
      </c>
      <c r="K102" s="7">
        <f t="shared" si="15"/>
        <v>0.24272168794365712</v>
      </c>
      <c r="L102" s="7">
        <f t="shared" si="15"/>
        <v>0.31339625088261869</v>
      </c>
      <c r="M102" s="7">
        <f t="shared" si="15"/>
        <v>0.35757243789448978</v>
      </c>
      <c r="N102" s="7">
        <f t="shared" si="15"/>
        <v>0.41610189835822098</v>
      </c>
      <c r="O102" s="7">
        <f t="shared" si="15"/>
        <v>0.5</v>
      </c>
      <c r="P102" s="7"/>
      <c r="Q102" s="8">
        <f t="shared" si="11"/>
        <v>16.333333333333336</v>
      </c>
      <c r="R102" s="8">
        <f t="shared" si="12"/>
        <v>5.1214916303205529E-2</v>
      </c>
      <c r="S102" s="8">
        <f t="shared" si="13"/>
        <v>0.13252043169789887</v>
      </c>
      <c r="T102" s="8">
        <f>$M102*T$2*$AG$2/100</f>
        <v>0.28838274612800258</v>
      </c>
      <c r="U102" s="8">
        <f>$M102*U$2*$AG$2/100</f>
        <v>0.37592853057785169</v>
      </c>
      <c r="V102" s="8">
        <f>$M102*V$2*$AG$2/100</f>
        <v>0.45941198368512415</v>
      </c>
      <c r="W102" s="8">
        <f>$M102*W$2*$AG$2/100</f>
        <v>0.56143483025636487</v>
      </c>
      <c r="X102" s="8">
        <f>$M102*X$2*$AG$2/100</f>
        <v>0.68611416292752514</v>
      </c>
      <c r="Y102" s="8">
        <f>$M102*Y$2*$AG$2/100</f>
        <v>0.89440125160439299</v>
      </c>
      <c r="Z102" s="8">
        <f>$M102*Z$2*$AG$2/100</f>
        <v>1.0930524091110392</v>
      </c>
      <c r="AA102" s="8">
        <f>$N102*AA$2*$AG$2/100</f>
        <v>1.5544389852367169</v>
      </c>
      <c r="AB102" s="8">
        <f>$N102*AB$2*$AG$2/100</f>
        <v>2.0326521116921903</v>
      </c>
      <c r="AC102" s="8">
        <f>$N102*AC$2*$AG$2/100</f>
        <v>2.1790032238844064</v>
      </c>
      <c r="AD102" s="8">
        <f t="shared" si="14"/>
        <v>4.9912446800000003</v>
      </c>
      <c r="AE102" s="8"/>
      <c r="AF102" s="8"/>
      <c r="AG102" s="7"/>
    </row>
    <row r="103" spans="1:33" x14ac:dyDescent="0.25">
      <c r="A103" s="7">
        <v>68.75</v>
      </c>
      <c r="B103" s="7">
        <v>93.410329427964982</v>
      </c>
      <c r="C103" s="7">
        <v>91.188587316008963</v>
      </c>
      <c r="D103" s="7">
        <v>89.985023779043914</v>
      </c>
      <c r="E103" s="7">
        <v>88.060321780963449</v>
      </c>
      <c r="F103" s="7">
        <v>80.499999999999986</v>
      </c>
      <c r="G103" s="7"/>
      <c r="H103" s="7"/>
      <c r="I103" s="7"/>
      <c r="J103" s="8">
        <f t="shared" si="10"/>
        <v>16.5</v>
      </c>
      <c r="K103" s="7">
        <f t="shared" si="15"/>
        <v>0.23491257403067323</v>
      </c>
      <c r="L103" s="7">
        <f t="shared" si="15"/>
        <v>0.30406604489596134</v>
      </c>
      <c r="M103" s="7">
        <f t="shared" si="15"/>
        <v>0.34674158563554158</v>
      </c>
      <c r="N103" s="7">
        <f t="shared" si="15"/>
        <v>0.4041032941081113</v>
      </c>
      <c r="O103" s="7">
        <f t="shared" si="15"/>
        <v>0.5</v>
      </c>
      <c r="P103" s="7"/>
      <c r="Q103" s="8">
        <f t="shared" si="11"/>
        <v>16.5</v>
      </c>
      <c r="R103" s="8">
        <f t="shared" si="12"/>
        <v>4.9567172672036877E-2</v>
      </c>
      <c r="S103" s="8">
        <f t="shared" si="13"/>
        <v>0.12857512947523361</v>
      </c>
      <c r="T103" s="8">
        <f>$M103*T$2*$AG$2/100</f>
        <v>0.27964764636546496</v>
      </c>
      <c r="U103" s="8">
        <f>$M103*U$2*$AG$2/100</f>
        <v>0.36454167313831481</v>
      </c>
      <c r="V103" s="8">
        <f>$M103*V$2*$AG$2/100</f>
        <v>0.44549641639312798</v>
      </c>
      <c r="W103" s="8">
        <f>$M103*W$2*$AG$2/100</f>
        <v>0.54442899575933168</v>
      </c>
      <c r="X103" s="8">
        <f>$M103*X$2*$AG$2/100</f>
        <v>0.66533179733134706</v>
      </c>
      <c r="Y103" s="8">
        <f>$M103*Y$2*$AG$2/100</f>
        <v>0.86730987992768671</v>
      </c>
      <c r="Z103" s="8">
        <f>$M103*Z$2*$AG$2/100</f>
        <v>1.0599439032539342</v>
      </c>
      <c r="AA103" s="8">
        <f>$N103*AA$2*$AG$2/100</f>
        <v>1.5096155939270699</v>
      </c>
      <c r="AB103" s="8">
        <f>$N103*AB$2*$AG$2/100</f>
        <v>1.9740390931922176</v>
      </c>
      <c r="AC103" s="8">
        <f>$N103*AC$2*$AG$2/100</f>
        <v>2.1161700634343812</v>
      </c>
      <c r="AD103" s="8">
        <f t="shared" si="14"/>
        <v>4.9912446800000003</v>
      </c>
      <c r="AE103" s="8"/>
      <c r="AF103" s="8"/>
      <c r="AG103" s="7"/>
    </row>
    <row r="104" spans="1:33" x14ac:dyDescent="0.25">
      <c r="A104" s="7">
        <v>69.444444444444443</v>
      </c>
      <c r="B104" s="7">
        <v>93.637956914587662</v>
      </c>
      <c r="C104" s="7">
        <v>91.483924713887532</v>
      </c>
      <c r="D104" s="7">
        <v>90.321650088934845</v>
      </c>
      <c r="E104" s="7">
        <v>88.453211785973252</v>
      </c>
      <c r="F104" s="7">
        <v>80.999999999999986</v>
      </c>
      <c r="G104" s="7"/>
      <c r="H104" s="7"/>
      <c r="I104" s="7"/>
      <c r="J104" s="8">
        <f t="shared" si="10"/>
        <v>16.666666666666664</v>
      </c>
      <c r="K104" s="7">
        <f t="shared" si="15"/>
        <v>0.22762748662267995</v>
      </c>
      <c r="L104" s="7">
        <f t="shared" si="15"/>
        <v>0.29533739787856916</v>
      </c>
      <c r="M104" s="7">
        <f t="shared" si="15"/>
        <v>0.33662630989093145</v>
      </c>
      <c r="N104" s="7">
        <f t="shared" si="15"/>
        <v>0.39289000500980364</v>
      </c>
      <c r="O104" s="7">
        <f t="shared" si="15"/>
        <v>0.5</v>
      </c>
      <c r="P104" s="7"/>
      <c r="Q104" s="8">
        <f t="shared" si="11"/>
        <v>16.666666666666664</v>
      </c>
      <c r="R104" s="8">
        <f t="shared" si="12"/>
        <v>4.8030000015473438E-2</v>
      </c>
      <c r="S104" s="8">
        <f t="shared" si="13"/>
        <v>0.12488419805015848</v>
      </c>
      <c r="T104" s="8">
        <f>$M104*T$2*$AG$2/100</f>
        <v>0.2714896602123672</v>
      </c>
      <c r="U104" s="8">
        <f>$M104*U$2*$AG$2/100</f>
        <v>0.35390712655678236</v>
      </c>
      <c r="V104" s="8">
        <f>$M104*V$2*$AG$2/100</f>
        <v>0.43250022764122931</v>
      </c>
      <c r="W104" s="8">
        <f>$M104*W$2*$AG$2/100</f>
        <v>0.52854670865098574</v>
      </c>
      <c r="X104" s="8">
        <f>$M104*X$2*$AG$2/100</f>
        <v>0.64592248829410481</v>
      </c>
      <c r="Y104" s="8">
        <f>$M104*Y$2*$AG$2/100</f>
        <v>0.84200839041810538</v>
      </c>
      <c r="Z104" s="8">
        <f>$M104*Z$2*$AG$2/100</f>
        <v>1.0290228216779234</v>
      </c>
      <c r="AA104" s="8">
        <f>$N104*AA$2*$AG$2/100</f>
        <v>1.4677259178743702</v>
      </c>
      <c r="AB104" s="8">
        <f>$N104*AB$2*$AG$2/100</f>
        <v>1.9192623285232233</v>
      </c>
      <c r="AC104" s="8">
        <f>$N104*AC$2*$AG$2/100</f>
        <v>2.0574493673934198</v>
      </c>
      <c r="AD104" s="8">
        <f t="shared" si="14"/>
        <v>4.9912446800000003</v>
      </c>
      <c r="AE104" s="8"/>
      <c r="AF104" s="8"/>
      <c r="AG104" s="7"/>
    </row>
    <row r="105" spans="1:33" x14ac:dyDescent="0.25">
      <c r="A105" s="7">
        <v>70.138888888888886</v>
      </c>
      <c r="B105" s="7">
        <v>93.858771201736701</v>
      </c>
      <c r="C105" s="7">
        <v>91.771076836497727</v>
      </c>
      <c r="D105" s="7">
        <v>90.648805934720187</v>
      </c>
      <c r="E105" s="7">
        <v>88.835595941394971</v>
      </c>
      <c r="F105" s="7">
        <v>81.499999999999986</v>
      </c>
      <c r="G105" s="7"/>
      <c r="H105" s="7"/>
      <c r="I105" s="7"/>
      <c r="J105" s="8">
        <f t="shared" si="10"/>
        <v>16.833333333333332</v>
      </c>
      <c r="K105" s="7">
        <f t="shared" si="15"/>
        <v>0.2208142871490395</v>
      </c>
      <c r="L105" s="7">
        <f t="shared" si="15"/>
        <v>0.28715212261019474</v>
      </c>
      <c r="M105" s="7">
        <f t="shared" si="15"/>
        <v>0.32715584578534163</v>
      </c>
      <c r="N105" s="7">
        <f t="shared" si="15"/>
        <v>0.38238415542171822</v>
      </c>
      <c r="O105" s="7">
        <f t="shared" si="15"/>
        <v>0.5</v>
      </c>
      <c r="P105" s="7"/>
      <c r="Q105" s="8">
        <f t="shared" si="11"/>
        <v>16.833333333333332</v>
      </c>
      <c r="R105" s="8">
        <f t="shared" si="12"/>
        <v>4.6592396957601909E-2</v>
      </c>
      <c r="S105" s="8">
        <f t="shared" si="13"/>
        <v>0.12142303280304327</v>
      </c>
      <c r="T105" s="8">
        <f>$M105*T$2*$AG$2/100</f>
        <v>0.26385171568297777</v>
      </c>
      <c r="U105" s="8">
        <f>$M105*U$2*$AG$2/100</f>
        <v>0.34395049322097926</v>
      </c>
      <c r="V105" s="8">
        <f>$M105*V$2*$AG$2/100</f>
        <v>0.42033249814063617</v>
      </c>
      <c r="W105" s="8">
        <f>$M105*W$2*$AG$2/100</f>
        <v>0.51367685895317494</v>
      </c>
      <c r="X105" s="8">
        <f>$M105*X$2*$AG$2/100</f>
        <v>0.62775045134795948</v>
      </c>
      <c r="Y105" s="8">
        <f>$M105*Y$2*$AG$2/100</f>
        <v>0.81831977784161436</v>
      </c>
      <c r="Z105" s="8">
        <f>$M105*Z$2*$AG$2/100</f>
        <v>1.0000728453683143</v>
      </c>
      <c r="AA105" s="8">
        <f>$N105*AA$2*$AG$2/100</f>
        <v>1.4284790357111601</v>
      </c>
      <c r="AB105" s="8">
        <f>$N105*AB$2*$AG$2/100</f>
        <v>1.8679413962357236</v>
      </c>
      <c r="AC105" s="8">
        <f>$N105*AC$2*$AG$2/100</f>
        <v>2.002433323937701</v>
      </c>
      <c r="AD105" s="8">
        <f t="shared" si="14"/>
        <v>4.9912446800000003</v>
      </c>
      <c r="AE105" s="8"/>
      <c r="AF105" s="8"/>
      <c r="AG105" s="7"/>
    </row>
    <row r="106" spans="1:33" x14ac:dyDescent="0.25">
      <c r="A106" s="7">
        <v>70.833333333333343</v>
      </c>
      <c r="B106" s="7">
        <v>94.073198798351569</v>
      </c>
      <c r="C106" s="7">
        <v>92.050536252487419</v>
      </c>
      <c r="D106" s="7">
        <v>90.967074506361968</v>
      </c>
      <c r="E106" s="7">
        <v>89.208113963278208</v>
      </c>
      <c r="F106" s="7">
        <v>81.999999999999986</v>
      </c>
      <c r="G106" s="7"/>
      <c r="H106" s="7"/>
      <c r="I106" s="7"/>
      <c r="J106" s="8">
        <f t="shared" si="10"/>
        <v>17.000000000000004</v>
      </c>
      <c r="K106" s="7">
        <f t="shared" si="15"/>
        <v>0.21442759661486832</v>
      </c>
      <c r="L106" s="7">
        <f t="shared" si="15"/>
        <v>0.27945941598969171</v>
      </c>
      <c r="M106" s="7">
        <f t="shared" si="15"/>
        <v>0.3182685716417808</v>
      </c>
      <c r="N106" s="7">
        <f t="shared" si="15"/>
        <v>0.37251802188323779</v>
      </c>
      <c r="O106" s="7">
        <f t="shared" si="15"/>
        <v>0.5</v>
      </c>
      <c r="P106" s="7"/>
      <c r="Q106" s="8">
        <f t="shared" si="11"/>
        <v>17.000000000000004</v>
      </c>
      <c r="R106" s="8">
        <f t="shared" si="12"/>
        <v>4.5244788410820629E-2</v>
      </c>
      <c r="S106" s="8">
        <f t="shared" si="13"/>
        <v>0.11817015150850547</v>
      </c>
      <c r="T106" s="8">
        <f>$M106*T$2*$AG$2/100</f>
        <v>0.25668411479571718</v>
      </c>
      <c r="U106" s="8">
        <f>$M106*U$2*$AG$2/100</f>
        <v>0.33460698808589612</v>
      </c>
      <c r="V106" s="8">
        <f>$M106*V$2*$AG$2/100</f>
        <v>0.40891405585831586</v>
      </c>
      <c r="W106" s="8">
        <f>$M106*W$2*$AG$2/100</f>
        <v>0.49972269268797709</v>
      </c>
      <c r="X106" s="8">
        <f>$M106*X$2*$AG$2/100</f>
        <v>0.6106974461006256</v>
      </c>
      <c r="Y106" s="8">
        <f>$M106*Y$2*$AG$2/100</f>
        <v>0.79608990698199944</v>
      </c>
      <c r="Z106" s="8">
        <f>$M106*Z$2*$AG$2/100</f>
        <v>0.97290560487782729</v>
      </c>
      <c r="AA106" s="8">
        <f>$N106*AA$2*$AG$2/100</f>
        <v>1.3916219517462067</v>
      </c>
      <c r="AB106" s="8">
        <f>$N106*AB$2*$AG$2/100</f>
        <v>1.8197454681460983</v>
      </c>
      <c r="AC106" s="8">
        <f>$N106*AC$2*$AG$2/100</f>
        <v>1.9507672852283198</v>
      </c>
      <c r="AD106" s="8">
        <f t="shared" si="14"/>
        <v>4.9912446800000003</v>
      </c>
      <c r="AE106" s="8"/>
      <c r="AF106" s="8"/>
      <c r="AG106" s="7"/>
    </row>
    <row r="107" spans="1:33" x14ac:dyDescent="0.25">
      <c r="A107" s="7">
        <v>71.527777777777786</v>
      </c>
      <c r="B107" s="7">
        <v>94.281626525316426</v>
      </c>
      <c r="C107" s="7">
        <v>92.322750954647006</v>
      </c>
      <c r="D107" s="7">
        <v>91.276985076707845</v>
      </c>
      <c r="E107" s="7">
        <v>89.57134637780743</v>
      </c>
      <c r="F107" s="7">
        <v>82.499999999999986</v>
      </c>
      <c r="G107" s="7"/>
      <c r="H107" s="7"/>
      <c r="I107" s="7"/>
      <c r="J107" s="8">
        <f t="shared" si="10"/>
        <v>17.166666666666671</v>
      </c>
      <c r="K107" s="7">
        <f t="shared" si="15"/>
        <v>0.20842772696485667</v>
      </c>
      <c r="L107" s="7">
        <f t="shared" si="15"/>
        <v>0.27221470215958732</v>
      </c>
      <c r="M107" s="7">
        <f t="shared" si="15"/>
        <v>0.30991057034587755</v>
      </c>
      <c r="N107" s="7">
        <f t="shared" si="15"/>
        <v>0.36323241452922161</v>
      </c>
      <c r="O107" s="7">
        <f t="shared" si="15"/>
        <v>0.5</v>
      </c>
      <c r="P107" s="7"/>
      <c r="Q107" s="8">
        <f t="shared" si="11"/>
        <v>17.166666666666671</v>
      </c>
      <c r="R107" s="8">
        <f t="shared" si="12"/>
        <v>4.3978800090787119E-2</v>
      </c>
      <c r="S107" s="8">
        <f t="shared" si="13"/>
        <v>0.1151067051475828</v>
      </c>
      <c r="T107" s="8">
        <f>$M107*T$2*$AG$2/100</f>
        <v>0.24994337331114785</v>
      </c>
      <c r="U107" s="8">
        <f>$M107*U$2*$AG$2/100</f>
        <v>0.32581992618526989</v>
      </c>
      <c r="V107" s="8">
        <f>$M107*V$2*$AG$2/100</f>
        <v>0.39817562764610903</v>
      </c>
      <c r="W107" s="8">
        <f>$M107*W$2*$AG$2/100</f>
        <v>0.48659955303415253</v>
      </c>
      <c r="X107" s="8">
        <f>$M107*X$2*$AG$2/100</f>
        <v>0.59466001576440397</v>
      </c>
      <c r="Y107" s="8">
        <f>$M107*Y$2*$AG$2/100</f>
        <v>0.7751839141600001</v>
      </c>
      <c r="Z107" s="8">
        <f>$M107*Z$2*$AG$2/100</f>
        <v>0.94735628260445903</v>
      </c>
      <c r="AA107" s="8">
        <f>$N107*AA$2*$AG$2/100</f>
        <v>1.356933549386991</v>
      </c>
      <c r="AB107" s="8">
        <f>$N107*AB$2*$AG$2/100</f>
        <v>1.7743854025685155</v>
      </c>
      <c r="AC107" s="8">
        <f>$N107*AC$2*$AG$2/100</f>
        <v>1.9021412913552824</v>
      </c>
      <c r="AD107" s="8">
        <f t="shared" si="14"/>
        <v>4.9912446800000003</v>
      </c>
      <c r="AE107" s="8"/>
      <c r="AF107" s="8"/>
      <c r="AG107" s="7"/>
    </row>
    <row r="108" spans="1:33" x14ac:dyDescent="0.25">
      <c r="A108" s="7">
        <v>72.222222222222214</v>
      </c>
      <c r="B108" s="7">
        <v>94.484406340623465</v>
      </c>
      <c r="C108" s="7">
        <v>92.588129661652715</v>
      </c>
      <c r="D108" s="7">
        <v>91.579019531516167</v>
      </c>
      <c r="E108" s="7">
        <v>89.925821739239339</v>
      </c>
      <c r="F108" s="7">
        <v>82.999999999999986</v>
      </c>
      <c r="G108" s="7"/>
      <c r="H108" s="7"/>
      <c r="I108" s="7"/>
      <c r="J108" s="8">
        <f t="shared" si="10"/>
        <v>17.333333333333329</v>
      </c>
      <c r="K108" s="7">
        <f t="shared" si="15"/>
        <v>0.20277981530703926</v>
      </c>
      <c r="L108" s="7">
        <f t="shared" si="15"/>
        <v>0.2653787070057092</v>
      </c>
      <c r="M108" s="7">
        <f t="shared" si="15"/>
        <v>0.30203445480832158</v>
      </c>
      <c r="N108" s="7">
        <f t="shared" si="15"/>
        <v>0.35447536143190916</v>
      </c>
      <c r="O108" s="7">
        <f t="shared" si="15"/>
        <v>0.5</v>
      </c>
      <c r="P108" s="7"/>
      <c r="Q108" s="8">
        <f t="shared" si="11"/>
        <v>17.333333333333329</v>
      </c>
      <c r="R108" s="8">
        <f t="shared" si="12"/>
        <v>4.2787075835350317E-2</v>
      </c>
      <c r="S108" s="8">
        <f t="shared" si="13"/>
        <v>0.11221608655745811</v>
      </c>
      <c r="T108" s="8">
        <f>$M108*T$2*$AG$2/100</f>
        <v>0.24359127346554391</v>
      </c>
      <c r="U108" s="8">
        <f>$M108*U$2*$AG$2/100</f>
        <v>0.31753948779877306</v>
      </c>
      <c r="V108" s="8">
        <f>$M108*V$2*$AG$2/100</f>
        <v>0.38805633018529773</v>
      </c>
      <c r="W108" s="8">
        <f>$M108*W$2*$AG$2/100</f>
        <v>0.47423303615174101</v>
      </c>
      <c r="X108" s="8">
        <f>$M108*X$2*$AG$2/100</f>
        <v>0.57954723343981873</v>
      </c>
      <c r="Y108" s="8">
        <f>$M108*Y$2*$AG$2/100</f>
        <v>0.75548326934506205</v>
      </c>
      <c r="Z108" s="8">
        <f>$M108*Z$2*$AG$2/100</f>
        <v>0.92328002238301909</v>
      </c>
      <c r="AA108" s="8">
        <f>$N108*AA$2*$AG$2/100</f>
        <v>1.3242196762132337</v>
      </c>
      <c r="AB108" s="8">
        <f>$N108*AB$2*$AG$2/100</f>
        <v>1.7316073173430337</v>
      </c>
      <c r="AC108" s="8">
        <f>$N108*AC$2*$AG$2/100</f>
        <v>1.8562831806231288</v>
      </c>
      <c r="AD108" s="8">
        <f t="shared" si="14"/>
        <v>4.9912446800000003</v>
      </c>
      <c r="AE108" s="8"/>
      <c r="AF108" s="8"/>
      <c r="AG108" s="7"/>
    </row>
    <row r="109" spans="1:33" x14ac:dyDescent="0.25">
      <c r="A109" s="7">
        <v>72.916666666666657</v>
      </c>
      <c r="B109" s="7">
        <v>94.681859443659846</v>
      </c>
      <c r="C109" s="7">
        <v>92.847046344341877</v>
      </c>
      <c r="D109" s="7">
        <v>91.873617934081381</v>
      </c>
      <c r="E109" s="7">
        <v>90.272022769583728</v>
      </c>
      <c r="F109" s="7">
        <v>83.499999999999986</v>
      </c>
      <c r="G109" s="7"/>
      <c r="H109" s="7"/>
      <c r="I109" s="7"/>
      <c r="J109" s="8">
        <f t="shared" si="10"/>
        <v>17.499999999999996</v>
      </c>
      <c r="K109" s="7">
        <f t="shared" si="15"/>
        <v>0.19745310303638064</v>
      </c>
      <c r="L109" s="7">
        <f t="shared" si="15"/>
        <v>0.25891668268916135</v>
      </c>
      <c r="M109" s="7">
        <f t="shared" si="15"/>
        <v>0.29459840256521375</v>
      </c>
      <c r="N109" s="7">
        <f t="shared" si="15"/>
        <v>0.34620103034438898</v>
      </c>
      <c r="O109" s="7">
        <f t="shared" si="15"/>
        <v>0.5</v>
      </c>
      <c r="P109" s="7"/>
      <c r="Q109" s="8">
        <f t="shared" si="11"/>
        <v>17.499999999999996</v>
      </c>
      <c r="R109" s="8">
        <f t="shared" si="12"/>
        <v>4.1663125497725904E-2</v>
      </c>
      <c r="S109" s="8">
        <f t="shared" si="13"/>
        <v>0.10948360252275924</v>
      </c>
      <c r="T109" s="8">
        <f>$M109*T$2*$AG$2/100</f>
        <v>0.23759408537452134</v>
      </c>
      <c r="U109" s="8">
        <f>$M109*U$2*$AG$2/100</f>
        <v>0.30972170349327094</v>
      </c>
      <c r="V109" s="8">
        <f>$M109*V$2*$AG$2/100</f>
        <v>0.37850242963326358</v>
      </c>
      <c r="W109" s="8">
        <f>$M109*W$2*$AG$2/100</f>
        <v>0.4625574753801398</v>
      </c>
      <c r="X109" s="8">
        <f>$M109*X$2*$AG$2/100</f>
        <v>0.56527884969551367</v>
      </c>
      <c r="Y109" s="8">
        <f>$M109*Y$2*$AG$2/100</f>
        <v>0.73688336138684918</v>
      </c>
      <c r="Z109" s="8">
        <f>$M109*Z$2*$AG$2/100</f>
        <v>0.90054897838403236</v>
      </c>
      <c r="AA109" s="8">
        <f>$N109*AA$2*$AG$2/100</f>
        <v>1.2933091159155139</v>
      </c>
      <c r="AB109" s="8">
        <f>$N109*AB$2*$AG$2/100</f>
        <v>1.6911873225671172</v>
      </c>
      <c r="AC109" s="8">
        <f>$N109*AC$2*$AG$2/100</f>
        <v>1.8129529430387001</v>
      </c>
      <c r="AD109" s="8">
        <f t="shared" si="14"/>
        <v>4.9912446800000003</v>
      </c>
      <c r="AE109" s="8"/>
      <c r="AF109" s="8"/>
      <c r="AG109" s="7"/>
    </row>
    <row r="110" spans="1:33" x14ac:dyDescent="0.25">
      <c r="A110" s="7">
        <v>73.611111111111114</v>
      </c>
      <c r="B110" s="7">
        <v>94.874279796272759</v>
      </c>
      <c r="C110" s="7">
        <v>93.099844113898953</v>
      </c>
      <c r="D110" s="7">
        <v>92.161183291337579</v>
      </c>
      <c r="E110" s="7">
        <v>90.610391608714238</v>
      </c>
      <c r="F110" s="7">
        <v>83.999999999999986</v>
      </c>
      <c r="G110" s="7"/>
      <c r="H110" s="7"/>
      <c r="I110" s="7"/>
      <c r="J110" s="8">
        <f t="shared" si="10"/>
        <v>17.666666666666668</v>
      </c>
      <c r="K110" s="7">
        <f t="shared" si="15"/>
        <v>0.19242035261291335</v>
      </c>
      <c r="L110" s="7">
        <f t="shared" si="15"/>
        <v>0.25279776955707689</v>
      </c>
      <c r="M110" s="7">
        <f t="shared" si="15"/>
        <v>0.28756535725619869</v>
      </c>
      <c r="N110" s="7">
        <f t="shared" si="15"/>
        <v>0.33836883913050997</v>
      </c>
      <c r="O110" s="7">
        <f t="shared" si="15"/>
        <v>0.5</v>
      </c>
      <c r="P110" s="7"/>
      <c r="Q110" s="8">
        <f t="shared" si="11"/>
        <v>17.666666666666668</v>
      </c>
      <c r="R110" s="8">
        <f t="shared" si="12"/>
        <v>4.0601201885145273E-2</v>
      </c>
      <c r="S110" s="8">
        <f t="shared" si="13"/>
        <v>0.10689620395783676</v>
      </c>
      <c r="T110" s="8">
        <f>$M110*T$2*$AG$2/100</f>
        <v>0.23192192302386808</v>
      </c>
      <c r="U110" s="8">
        <f>$M110*U$2*$AG$2/100</f>
        <v>0.30232761460858565</v>
      </c>
      <c r="V110" s="8">
        <f>$M110*V$2*$AG$2/100</f>
        <v>0.36946631567608157</v>
      </c>
      <c r="W110" s="8">
        <f>$M110*W$2*$AG$2/100</f>
        <v>0.45151468745581624</v>
      </c>
      <c r="X110" s="8">
        <f>$M110*X$2*$AG$2/100</f>
        <v>0.55178376035518228</v>
      </c>
      <c r="Y110" s="8">
        <f>$M110*Y$2*$AG$2/100</f>
        <v>0.71929150066063285</v>
      </c>
      <c r="Z110" s="8">
        <f>$M110*Z$2*$AG$2/100</f>
        <v>0.87904987413630964</v>
      </c>
      <c r="AA110" s="8">
        <f>$N110*AA$2*$AG$2/100</f>
        <v>1.2640502651130576</v>
      </c>
      <c r="AB110" s="8">
        <f>$N110*AB$2*$AG$2/100</f>
        <v>1.6529271750578582</v>
      </c>
      <c r="AC110" s="8">
        <f>$N110*AC$2*$AG$2/100</f>
        <v>1.7719380618943006</v>
      </c>
      <c r="AD110" s="8">
        <f t="shared" si="14"/>
        <v>4.9912446800000003</v>
      </c>
      <c r="AE110" s="8"/>
      <c r="AF110" s="8"/>
      <c r="AG110" s="7"/>
    </row>
    <row r="111" spans="1:33" x14ac:dyDescent="0.25">
      <c r="A111" s="7">
        <v>74.305555555555557</v>
      </c>
      <c r="B111" s="7">
        <v>95.061937143930308</v>
      </c>
      <c r="C111" s="7">
        <v>93.34683857860206</v>
      </c>
      <c r="D111" s="7">
        <v>92.442085655550414</v>
      </c>
      <c r="E111" s="7">
        <v>90.941334325686341</v>
      </c>
      <c r="F111" s="7">
        <v>84.499999999999986</v>
      </c>
      <c r="G111" s="7"/>
      <c r="H111" s="7"/>
      <c r="I111" s="7"/>
      <c r="J111" s="8">
        <f t="shared" si="10"/>
        <v>17.833333333333336</v>
      </c>
      <c r="K111" s="7">
        <f t="shared" si="15"/>
        <v>0.18765734765754871</v>
      </c>
      <c r="L111" s="7">
        <f t="shared" si="15"/>
        <v>0.24699446470310704</v>
      </c>
      <c r="M111" s="7">
        <f t="shared" si="15"/>
        <v>0.28090236421283521</v>
      </c>
      <c r="N111" s="7">
        <f t="shared" si="15"/>
        <v>0.33094271697210331</v>
      </c>
      <c r="O111" s="7">
        <f t="shared" si="15"/>
        <v>0.5</v>
      </c>
      <c r="P111" s="7"/>
      <c r="Q111" s="8">
        <f t="shared" si="11"/>
        <v>17.833333333333336</v>
      </c>
      <c r="R111" s="8">
        <f t="shared" si="12"/>
        <v>3.9596195277753106E-2</v>
      </c>
      <c r="S111" s="8">
        <f t="shared" si="13"/>
        <v>0.10444226118616447</v>
      </c>
      <c r="T111" s="8">
        <f>$M111*T$2*$AG$2/100</f>
        <v>0.22654820842049608</v>
      </c>
      <c r="U111" s="8">
        <f>$M111*U$2*$AG$2/100</f>
        <v>0.2953225747380876</v>
      </c>
      <c r="V111" s="8">
        <f>$M111*V$2*$AG$2/100</f>
        <v>0.36090564788704177</v>
      </c>
      <c r="W111" s="8">
        <f>$M111*W$2*$AG$2/100</f>
        <v>0.44105292930038503</v>
      </c>
      <c r="X111" s="8">
        <f>$M111*X$2*$AG$2/100</f>
        <v>0.53899873161678657</v>
      </c>
      <c r="Y111" s="8">
        <f>$M111*Y$2*$AG$2/100</f>
        <v>0.70262525716461111</v>
      </c>
      <c r="Z111" s="8">
        <f>$M111*Z$2*$AG$2/100</f>
        <v>0.85868197150705949</v>
      </c>
      <c r="AA111" s="8">
        <f>$N111*AA$2*$AG$2/100</f>
        <v>1.2363083734329101</v>
      </c>
      <c r="AB111" s="8">
        <f>$N111*AB$2*$AG$2/100</f>
        <v>1.6166506693593083</v>
      </c>
      <c r="AC111" s="8">
        <f>$N111*AC$2*$AG$2/100</f>
        <v>1.7330496449272699</v>
      </c>
      <c r="AD111" s="8">
        <f t="shared" si="14"/>
        <v>4.9912446800000003</v>
      </c>
      <c r="AE111" s="8"/>
      <c r="AF111" s="8"/>
      <c r="AG111" s="7"/>
    </row>
    <row r="112" spans="1:33" x14ac:dyDescent="0.25">
      <c r="A112" s="7">
        <v>75</v>
      </c>
      <c r="B112" s="7">
        <v>95.245079634785341</v>
      </c>
      <c r="C112" s="7">
        <v>93.588320746857249</v>
      </c>
      <c r="D112" s="7">
        <v>92.716665670101918</v>
      </c>
      <c r="E112" s="7">
        <v>91.265224814595044</v>
      </c>
      <c r="F112" s="7">
        <v>84.999999999999986</v>
      </c>
      <c r="G112" s="7"/>
      <c r="H112" s="7"/>
      <c r="I112" s="7"/>
      <c r="J112" s="8">
        <f t="shared" si="10"/>
        <v>18</v>
      </c>
      <c r="K112" s="7">
        <f t="shared" si="15"/>
        <v>0.1831424908550332</v>
      </c>
      <c r="L112" s="7">
        <f t="shared" si="15"/>
        <v>0.24148216825518887</v>
      </c>
      <c r="M112" s="7">
        <f t="shared" si="15"/>
        <v>0.27458001455150338</v>
      </c>
      <c r="N112" s="7">
        <f t="shared" si="15"/>
        <v>0.32389048890870242</v>
      </c>
      <c r="O112" s="7">
        <f t="shared" si="15"/>
        <v>0.5</v>
      </c>
      <c r="P112" s="7"/>
      <c r="Q112" s="8">
        <f t="shared" si="11"/>
        <v>18</v>
      </c>
      <c r="R112" s="8">
        <f t="shared" si="12"/>
        <v>3.8643548585070811E-2</v>
      </c>
      <c r="S112" s="8">
        <f t="shared" si="13"/>
        <v>0.10211137208692468</v>
      </c>
      <c r="T112" s="8">
        <f>$M112*T$2*$AG$2/100</f>
        <v>0.22144922325247735</v>
      </c>
      <c r="U112" s="8">
        <f>$M112*U$2*$AG$2/100</f>
        <v>0.28867566528393895</v>
      </c>
      <c r="V112" s="8">
        <f>$M112*V$2*$AG$2/100</f>
        <v>0.35278264149268296</v>
      </c>
      <c r="W112" s="8">
        <f>$M112*W$2*$AG$2/100</f>
        <v>0.43112602517479742</v>
      </c>
      <c r="X112" s="8">
        <f>$M112*X$2*$AG$2/100</f>
        <v>0.52686733337154557</v>
      </c>
      <c r="Y112" s="8">
        <f>$M112*Y$2*$AG$2/100</f>
        <v>0.68681107002123765</v>
      </c>
      <c r="Z112" s="8">
        <f>$M112*Z$2*$AG$2/100</f>
        <v>0.83935537136625027</v>
      </c>
      <c r="AA112" s="8">
        <f>$N112*AA$2*$AG$2/100</f>
        <v>1.2099632443244304</v>
      </c>
      <c r="AB112" s="8">
        <f>$N112*AB$2*$AG$2/100</f>
        <v>1.582200631227384</v>
      </c>
      <c r="AC112" s="8">
        <f>$N112*AC$2*$AG$2/100</f>
        <v>1.6961192013355673</v>
      </c>
      <c r="AD112" s="8">
        <f t="shared" si="14"/>
        <v>4.9912446800000003</v>
      </c>
      <c r="AE112" s="8"/>
      <c r="AF112" s="8"/>
      <c r="AG112" s="7"/>
    </row>
    <row r="113" spans="1:33" x14ac:dyDescent="0.25">
      <c r="A113" s="7">
        <v>75.694444444444443</v>
      </c>
      <c r="B113" s="7">
        <v>95.423936087357347</v>
      </c>
      <c r="C113" s="7">
        <v>93.824559559671243</v>
      </c>
      <c r="D113" s="7">
        <v>92.985237647707436</v>
      </c>
      <c r="E113" s="7">
        <v>91.582408171716679</v>
      </c>
      <c r="F113" s="7">
        <v>85.499999999999986</v>
      </c>
      <c r="G113" s="7"/>
      <c r="H113" s="7"/>
      <c r="I113" s="7"/>
      <c r="J113" s="8">
        <f t="shared" si="10"/>
        <v>18.166666666666664</v>
      </c>
      <c r="K113" s="7">
        <f t="shared" si="15"/>
        <v>0.17885645257200622</v>
      </c>
      <c r="L113" s="7">
        <f t="shared" si="15"/>
        <v>0.23623881281399406</v>
      </c>
      <c r="M113" s="7">
        <f t="shared" si="15"/>
        <v>0.26857197760551799</v>
      </c>
      <c r="N113" s="7">
        <f t="shared" si="15"/>
        <v>0.31718335712163537</v>
      </c>
      <c r="O113" s="7">
        <f t="shared" si="15"/>
        <v>0.5</v>
      </c>
      <c r="P113" s="7"/>
      <c r="Q113" s="8">
        <f t="shared" si="11"/>
        <v>18.166666666666664</v>
      </c>
      <c r="R113" s="8">
        <f t="shared" si="12"/>
        <v>3.7739183203479881E-2</v>
      </c>
      <c r="S113" s="8">
        <f t="shared" si="13"/>
        <v>9.9894205402078426E-2</v>
      </c>
      <c r="T113" s="8">
        <f>$M113*T$2*$AG$2/100</f>
        <v>0.21660373179479117</v>
      </c>
      <c r="U113" s="8">
        <f>$M113*U$2*$AG$2/100</f>
        <v>0.28235920388646352</v>
      </c>
      <c r="V113" s="8">
        <f>$M113*V$2*$AG$2/100</f>
        <v>0.34506346663775994</v>
      </c>
      <c r="W113" s="8">
        <f>$M113*W$2*$AG$2/100</f>
        <v>0.42169263253747508</v>
      </c>
      <c r="X113" s="8">
        <f>$M113*X$2*$AG$2/100</f>
        <v>0.51533904202922232</v>
      </c>
      <c r="Y113" s="8">
        <f>$M113*Y$2*$AG$2/100</f>
        <v>0.67178307794271963</v>
      </c>
      <c r="Z113" s="8">
        <f>$M113*Z$2*$AG$2/100</f>
        <v>0.82098958429242885</v>
      </c>
      <c r="AA113" s="8">
        <f>$N113*AA$2*$AG$2/100</f>
        <v>1.1849072972833963</v>
      </c>
      <c r="AB113" s="8">
        <f>$N113*AB$2*$AG$2/100</f>
        <v>1.5494363837097174</v>
      </c>
      <c r="AC113" s="8">
        <f>$N113*AC$2*$AG$2/100</f>
        <v>1.6609959254151707</v>
      </c>
      <c r="AD113" s="8">
        <f t="shared" si="14"/>
        <v>4.9912446800000003</v>
      </c>
      <c r="AE113" s="8"/>
      <c r="AF113" s="8"/>
      <c r="AG113" s="7"/>
    </row>
    <row r="114" spans="1:33" x14ac:dyDescent="0.25">
      <c r="A114" s="7">
        <v>76.388888888888886</v>
      </c>
      <c r="B114" s="7">
        <v>95.598717964792286</v>
      </c>
      <c r="C114" s="7">
        <v>94.055804101368111</v>
      </c>
      <c r="D114" s="7">
        <v>93.248092253417752</v>
      </c>
      <c r="E114" s="7">
        <v>91.893203637128323</v>
      </c>
      <c r="F114" s="7">
        <v>85.999999999999986</v>
      </c>
      <c r="G114" s="7"/>
      <c r="H114" s="7"/>
      <c r="I114" s="7"/>
      <c r="J114" s="8">
        <f t="shared" si="10"/>
        <v>18.333333333333332</v>
      </c>
      <c r="K114" s="7">
        <f t="shared" si="15"/>
        <v>0.17478187743493834</v>
      </c>
      <c r="L114" s="7">
        <f t="shared" si="15"/>
        <v>0.23124454169686715</v>
      </c>
      <c r="M114" s="7">
        <f t="shared" si="15"/>
        <v>0.26285460571031649</v>
      </c>
      <c r="N114" s="7">
        <f t="shared" si="15"/>
        <v>0.31079546541164405</v>
      </c>
      <c r="O114" s="7">
        <f t="shared" si="15"/>
        <v>0.5</v>
      </c>
      <c r="P114" s="7"/>
      <c r="Q114" s="8">
        <f t="shared" si="11"/>
        <v>18.333333333333332</v>
      </c>
      <c r="R114" s="8">
        <f t="shared" si="12"/>
        <v>3.6879437103393038E-2</v>
      </c>
      <c r="S114" s="8">
        <f t="shared" si="13"/>
        <v>9.77823646809656E-2</v>
      </c>
      <c r="T114" s="8">
        <f>$M114*T$2*$AG$2/100</f>
        <v>0.21199266216794321</v>
      </c>
      <c r="U114" s="8">
        <f>$M114*U$2*$AG$2/100</f>
        <v>0.27634832892085892</v>
      </c>
      <c r="V114" s="8">
        <f>$M114*V$2*$AG$2/100</f>
        <v>0.33771774061003085</v>
      </c>
      <c r="W114" s="8">
        <f>$M114*W$2*$AG$2/100</f>
        <v>0.41271562150609875</v>
      </c>
      <c r="X114" s="8">
        <f>$M114*X$2*$AG$2/100</f>
        <v>0.50436848217533625</v>
      </c>
      <c r="Y114" s="8">
        <f>$M114*Y$2*$AG$2/100</f>
        <v>0.65748213067433725</v>
      </c>
      <c r="Z114" s="8">
        <f>$M114*Z$2*$AG$2/100</f>
        <v>0.80351232245247184</v>
      </c>
      <c r="AA114" s="8">
        <f>$N114*AA$2*$AG$2/100</f>
        <v>1.1610439408635882</v>
      </c>
      <c r="AB114" s="8">
        <f>$N114*AB$2*$AG$2/100</f>
        <v>1.5182316196247512</v>
      </c>
      <c r="AC114" s="8">
        <f>$N114*AC$2*$AG$2/100</f>
        <v>1.6275444158574981</v>
      </c>
      <c r="AD114" s="8">
        <f t="shared" si="14"/>
        <v>4.9912446800000003</v>
      </c>
      <c r="AE114" s="8"/>
      <c r="AF114" s="8"/>
      <c r="AG114" s="7"/>
    </row>
    <row r="115" spans="1:33" x14ac:dyDescent="0.25">
      <c r="A115" s="7">
        <v>77.083333333333343</v>
      </c>
      <c r="B115" s="7">
        <v>95.769621110037605</v>
      </c>
      <c r="C115" s="7">
        <v>94.282285537355662</v>
      </c>
      <c r="D115" s="7">
        <v>93.505498851999576</v>
      </c>
      <c r="E115" s="7">
        <v>92.197907166159311</v>
      </c>
      <c r="F115" s="7">
        <v>86.499999999999986</v>
      </c>
      <c r="G115" s="7"/>
      <c r="H115" s="7"/>
      <c r="I115" s="7"/>
      <c r="J115" s="8">
        <f t="shared" si="10"/>
        <v>18.500000000000004</v>
      </c>
      <c r="K115" s="7">
        <f t="shared" si="15"/>
        <v>0.17090314524531891</v>
      </c>
      <c r="L115" s="7">
        <f t="shared" si="15"/>
        <v>0.22648143598755155</v>
      </c>
      <c r="M115" s="7">
        <f t="shared" si="15"/>
        <v>0.25740659858182369</v>
      </c>
      <c r="N115" s="7">
        <f t="shared" si="15"/>
        <v>0.30470352903098785</v>
      </c>
      <c r="O115" s="7">
        <f t="shared" si="15"/>
        <v>0.5</v>
      </c>
      <c r="P115" s="7"/>
      <c r="Q115" s="8">
        <f t="shared" si="11"/>
        <v>18.500000000000004</v>
      </c>
      <c r="R115" s="8">
        <f t="shared" si="12"/>
        <v>3.6061014381728297E-2</v>
      </c>
      <c r="S115" s="8">
        <f t="shared" si="13"/>
        <v>9.5768272862561399E-2</v>
      </c>
      <c r="T115" s="8">
        <f>$M115*T$2*$AG$2/100</f>
        <v>0.20759883565857648</v>
      </c>
      <c r="U115" s="8">
        <f>$M115*U$2*$AG$2/100</f>
        <v>0.27062064664631991</v>
      </c>
      <c r="V115" s="8">
        <f>$M115*V$2*$AG$2/100</f>
        <v>0.33071809663084328</v>
      </c>
      <c r="W115" s="8">
        <f>$M115*W$2*$AG$2/100</f>
        <v>0.40416154788836828</v>
      </c>
      <c r="X115" s="8">
        <f>$M115*X$2*$AG$2/100</f>
        <v>0.49391478257645377</v>
      </c>
      <c r="Y115" s="8">
        <f>$M115*Y$2*$AG$2/100</f>
        <v>0.64385494949906041</v>
      </c>
      <c r="Z115" s="8">
        <f>$M115*Z$2*$AG$2/100</f>
        <v>0.78685847364992423</v>
      </c>
      <c r="AA115" s="8">
        <f>$N115*AA$2*$AG$2/100</f>
        <v>1.138286189834244</v>
      </c>
      <c r="AB115" s="8">
        <f>$N115*AB$2*$AG$2/100</f>
        <v>1.4884725932966019</v>
      </c>
      <c r="AC115" s="8">
        <f>$N115*AC$2*$AG$2/100</f>
        <v>1.5956427372890416</v>
      </c>
      <c r="AD115" s="8">
        <f t="shared" si="14"/>
        <v>4.9912446800000003</v>
      </c>
      <c r="AE115" s="8"/>
      <c r="AF115" s="8"/>
      <c r="AG115" s="7"/>
    </row>
    <row r="116" spans="1:33" x14ac:dyDescent="0.25">
      <c r="A116" s="7">
        <v>77.777777777777786</v>
      </c>
      <c r="B116" s="7">
        <v>95.936827256422788</v>
      </c>
      <c r="C116" s="7">
        <v>94.504218813286258</v>
      </c>
      <c r="D116" s="7">
        <v>93.757707569037279</v>
      </c>
      <c r="E116" s="7">
        <v>92.496793684535433</v>
      </c>
      <c r="F116" s="7">
        <v>86.999999999999986</v>
      </c>
      <c r="G116" s="7"/>
      <c r="H116" s="7"/>
      <c r="I116" s="7"/>
      <c r="J116" s="8">
        <f t="shared" si="10"/>
        <v>18.666666666666671</v>
      </c>
      <c r="K116" s="7">
        <f t="shared" si="15"/>
        <v>0.16720614638518327</v>
      </c>
      <c r="L116" s="7">
        <f t="shared" si="15"/>
        <v>0.22193327593059564</v>
      </c>
      <c r="M116" s="7">
        <f t="shared" si="15"/>
        <v>0.25220871703770342</v>
      </c>
      <c r="N116" s="7">
        <f t="shared" si="15"/>
        <v>0.29888651837612201</v>
      </c>
      <c r="O116" s="7">
        <f t="shared" si="15"/>
        <v>0.5</v>
      </c>
      <c r="P116" s="7"/>
      <c r="Q116" s="8">
        <f t="shared" si="11"/>
        <v>18.666666666666671</v>
      </c>
      <c r="R116" s="8">
        <f t="shared" si="12"/>
        <v>3.5280937871882807E-2</v>
      </c>
      <c r="S116" s="8">
        <f t="shared" si="13"/>
        <v>9.3845071380471309E-2</v>
      </c>
      <c r="T116" s="8">
        <f>$M116*T$2*$AG$2/100</f>
        <v>0.20340673583520089</v>
      </c>
      <c r="U116" s="8">
        <f>$M116*U$2*$AG$2/100</f>
        <v>0.26515593023108142</v>
      </c>
      <c r="V116" s="8">
        <f>$M116*V$2*$AG$2/100</f>
        <v>0.32403981604186455</v>
      </c>
      <c r="W116" s="8">
        <f>$M116*W$2*$AG$2/100</f>
        <v>0.39600020368745709</v>
      </c>
      <c r="X116" s="8">
        <f>$M116*X$2*$AG$2/100</f>
        <v>0.48394102686519047</v>
      </c>
      <c r="Y116" s="8">
        <f>$M116*Y$2*$AG$2/100</f>
        <v>0.63085341116426208</v>
      </c>
      <c r="Z116" s="8">
        <f>$M116*Z$2*$AG$2/100</f>
        <v>0.77096922620812081</v>
      </c>
      <c r="AA116" s="8">
        <f>$N116*AA$2*$AG$2/100</f>
        <v>1.116555483545381</v>
      </c>
      <c r="AB116" s="8">
        <f>$N116*AB$2*$AG$2/100</f>
        <v>1.460056575398097</v>
      </c>
      <c r="AC116" s="8">
        <f>$N116*AC$2*$AG$2/100</f>
        <v>1.5651807638629784</v>
      </c>
      <c r="AD116" s="8">
        <f t="shared" si="14"/>
        <v>4.9912446800000003</v>
      </c>
      <c r="AE116" s="8"/>
      <c r="AF116" s="8"/>
      <c r="AG116" s="7"/>
    </row>
    <row r="117" spans="1:33" x14ac:dyDescent="0.25">
      <c r="A117" s="7">
        <v>78.472222222222214</v>
      </c>
      <c r="B117" s="7">
        <v>96.100505371604825</v>
      </c>
      <c r="C117" s="7">
        <v>94.721804168033003</v>
      </c>
      <c r="D117" s="7">
        <v>94.004951106820585</v>
      </c>
      <c r="E117" s="7">
        <v>92.79011907524584</v>
      </c>
      <c r="F117" s="7">
        <v>87.499999999999986</v>
      </c>
      <c r="G117" s="7"/>
      <c r="H117" s="7"/>
      <c r="I117" s="7"/>
      <c r="J117" s="8">
        <f t="shared" si="10"/>
        <v>18.833333333333329</v>
      </c>
      <c r="K117" s="7">
        <f t="shared" si="15"/>
        <v>0.16367811518203723</v>
      </c>
      <c r="L117" s="7">
        <f t="shared" si="15"/>
        <v>0.21758535474674545</v>
      </c>
      <c r="M117" s="7">
        <f t="shared" si="15"/>
        <v>0.2472435377833051</v>
      </c>
      <c r="N117" s="7">
        <f t="shared" si="15"/>
        <v>0.29332539071040742</v>
      </c>
      <c r="O117" s="7">
        <f t="shared" si="15"/>
        <v>0.5</v>
      </c>
      <c r="P117" s="7"/>
      <c r="Q117" s="8">
        <f t="shared" si="11"/>
        <v>18.833333333333329</v>
      </c>
      <c r="R117" s="8">
        <f t="shared" si="12"/>
        <v>3.4536513983292494E-2</v>
      </c>
      <c r="S117" s="8">
        <f t="shared" si="13"/>
        <v>9.2006541434278416E-2</v>
      </c>
      <c r="T117" s="8">
        <f>$M117*T$2*$AG$2/100</f>
        <v>0.1994023107826646</v>
      </c>
      <c r="U117" s="8">
        <f>$M117*U$2*$AG$2/100</f>
        <v>0.25993586195022478</v>
      </c>
      <c r="V117" s="8">
        <f>$M117*V$2*$AG$2/100</f>
        <v>0.31766051325206607</v>
      </c>
      <c r="W117" s="8">
        <f>$M117*W$2*$AG$2/100</f>
        <v>0.38820423208433236</v>
      </c>
      <c r="X117" s="8">
        <f>$M117*X$2*$AG$2/100</f>
        <v>0.47441378302062481</v>
      </c>
      <c r="Y117" s="8">
        <f>$M117*Y$2*$AG$2/100</f>
        <v>0.61843393452416262</v>
      </c>
      <c r="Z117" s="8">
        <f>$M117*Z$2*$AG$2/100</f>
        <v>0.75579131938273603</v>
      </c>
      <c r="AA117" s="8">
        <f>$N117*AA$2*$AG$2/100</f>
        <v>1.0957806837197306</v>
      </c>
      <c r="AB117" s="8">
        <f>$N117*AB$2*$AG$2/100</f>
        <v>1.4328905424198644</v>
      </c>
      <c r="AC117" s="8">
        <f>$N117*AC$2*$AG$2/100</f>
        <v>1.5360587743699321</v>
      </c>
      <c r="AD117" s="8">
        <f t="shared" si="14"/>
        <v>4.9912446800000003</v>
      </c>
      <c r="AE117" s="8"/>
      <c r="AF117" s="8"/>
      <c r="AG117" s="7"/>
    </row>
    <row r="118" spans="1:33" x14ac:dyDescent="0.25">
      <c r="A118" s="7">
        <v>79.166666666666657</v>
      </c>
      <c r="B118" s="7">
        <v>96.260812834879232</v>
      </c>
      <c r="C118" s="7">
        <v>94.935228460481298</v>
      </c>
      <c r="D118" s="7">
        <v>94.247446349354178</v>
      </c>
      <c r="E118" s="7">
        <v>93.078121932639647</v>
      </c>
      <c r="F118" s="7">
        <v>87.899999999999991</v>
      </c>
      <c r="G118" s="7"/>
      <c r="H118" s="7"/>
      <c r="I118" s="7"/>
      <c r="J118" s="8">
        <f t="shared" si="10"/>
        <v>18.999999999999996</v>
      </c>
      <c r="K118" s="7">
        <f t="shared" si="15"/>
        <v>0.16030746327440681</v>
      </c>
      <c r="L118" s="7">
        <f t="shared" si="15"/>
        <v>0.21342429244829475</v>
      </c>
      <c r="M118" s="7">
        <f t="shared" si="15"/>
        <v>0.24249524253359311</v>
      </c>
      <c r="N118" s="7">
        <f t="shared" si="15"/>
        <v>0.28800285739380627</v>
      </c>
      <c r="O118" s="7">
        <f t="shared" si="15"/>
        <v>0.40000000000000568</v>
      </c>
      <c r="P118" s="7"/>
      <c r="Q118" s="8">
        <f t="shared" si="11"/>
        <v>18.999999999999996</v>
      </c>
      <c r="R118" s="8">
        <f t="shared" si="12"/>
        <v>3.3825297541123539E-2</v>
      </c>
      <c r="S118" s="8">
        <f t="shared" si="13"/>
        <v>9.0247025260873179E-2</v>
      </c>
      <c r="T118" s="8">
        <f>$M118*T$2*$AG$2/100</f>
        <v>0.19557280302865102</v>
      </c>
      <c r="U118" s="8">
        <f>$M118*U$2*$AG$2/100</f>
        <v>0.25494381148211598</v>
      </c>
      <c r="V118" s="8">
        <f>$M118*V$2*$AG$2/100</f>
        <v>0.31155986479985925</v>
      </c>
      <c r="W118" s="8">
        <f>$M118*W$2*$AG$2/100</f>
        <v>0.3807487963319946</v>
      </c>
      <c r="X118" s="8">
        <f>$M118*X$2*$AG$2/100</f>
        <v>0.46530269873299801</v>
      </c>
      <c r="Y118" s="8">
        <f>$M118*Y$2*$AG$2/100</f>
        <v>0.60655695306737945</v>
      </c>
      <c r="Z118" s="8">
        <f>$M118*Z$2*$AG$2/100</f>
        <v>0.74127639873496609</v>
      </c>
      <c r="AA118" s="8">
        <f>$N118*AA$2*$AG$2/100</f>
        <v>1.0758972048887268</v>
      </c>
      <c r="AB118" s="8">
        <f>$N118*AB$2*$AG$2/100</f>
        <v>1.4068900395905612</v>
      </c>
      <c r="AC118" s="8">
        <f>$N118*AC$2*$AG$2/100</f>
        <v>1.5081862332883684</v>
      </c>
      <c r="AD118" s="8">
        <f t="shared" si="14"/>
        <v>3.9929957440000567</v>
      </c>
      <c r="AE118" s="8"/>
      <c r="AF118" s="8"/>
      <c r="AG118" s="7"/>
    </row>
    <row r="119" spans="1:33" x14ac:dyDescent="0.25">
      <c r="A119" s="7">
        <v>79.861111111111114</v>
      </c>
      <c r="B119" s="7">
        <v>96.417896480458566</v>
      </c>
      <c r="C119" s="7">
        <v>95.144666360749014</v>
      </c>
      <c r="D119" s="7">
        <v>94.485395785331775</v>
      </c>
      <c r="E119" s="7">
        <v>93.361025117543974</v>
      </c>
      <c r="F119" s="7">
        <v>88.3</v>
      </c>
      <c r="G119" s="7"/>
      <c r="H119" s="7"/>
      <c r="I119" s="7"/>
      <c r="J119" s="8">
        <f t="shared" si="10"/>
        <v>19.166666666666668</v>
      </c>
      <c r="K119" s="7">
        <f t="shared" si="15"/>
        <v>0.15708364557933407</v>
      </c>
      <c r="L119" s="7">
        <f t="shared" si="15"/>
        <v>0.2094379002677158</v>
      </c>
      <c r="M119" s="7">
        <f t="shared" si="15"/>
        <v>0.23794943597759755</v>
      </c>
      <c r="N119" s="7">
        <f t="shared" si="15"/>
        <v>0.28290318490432753</v>
      </c>
      <c r="O119" s="7">
        <f t="shared" si="15"/>
        <v>0.40000000000000568</v>
      </c>
      <c r="P119" s="7"/>
      <c r="Q119" s="8">
        <f t="shared" si="11"/>
        <v>19.166666666666668</v>
      </c>
      <c r="R119" s="8">
        <f t="shared" si="12"/>
        <v>3.3145063505060517E-2</v>
      </c>
      <c r="S119" s="8">
        <f t="shared" si="13"/>
        <v>8.8561368807741833E-2</v>
      </c>
      <c r="T119" s="8">
        <f>$M119*T$2*$AG$2/100</f>
        <v>0.19190660273171564</v>
      </c>
      <c r="U119" s="8">
        <f>$M119*U$2*$AG$2/100</f>
        <v>0.25016464452800408</v>
      </c>
      <c r="V119" s="8">
        <f>$M119*V$2*$AG$2/100</f>
        <v>0.3057193754723373</v>
      </c>
      <c r="W119" s="8">
        <f>$M119*W$2*$AG$2/100</f>
        <v>0.37361129393619552</v>
      </c>
      <c r="X119" s="8">
        <f>$M119*X$2*$AG$2/100</f>
        <v>0.45658015211177977</v>
      </c>
      <c r="Y119" s="8">
        <f>$M119*Y$2*$AG$2/100</f>
        <v>0.59518645958870264</v>
      </c>
      <c r="Z119" s="8">
        <f>$M119*Z$2*$AG$2/100</f>
        <v>0.7273804596725435</v>
      </c>
      <c r="AA119" s="8">
        <f>$N119*AA$2*$AG$2/100</f>
        <v>1.0568462710649151</v>
      </c>
      <c r="AB119" s="8">
        <f>$N119*AB$2*$AG$2/100</f>
        <v>1.3819782088693429</v>
      </c>
      <c r="AC119" s="8">
        <f>$N119*AC$2*$AG$2/100</f>
        <v>1.4814807487924475</v>
      </c>
      <c r="AD119" s="8">
        <f t="shared" si="14"/>
        <v>3.9929957440000567</v>
      </c>
      <c r="AE119" s="8"/>
      <c r="AF119" s="8"/>
      <c r="AG119" s="7"/>
    </row>
    <row r="120" spans="1:33" x14ac:dyDescent="0.25">
      <c r="A120" s="7">
        <v>80.555555555555557</v>
      </c>
      <c r="B120" s="7">
        <v>96.571893539321096</v>
      </c>
      <c r="C120" s="7">
        <v>95.350281394989707</v>
      </c>
      <c r="D120" s="7">
        <v>94.718988773404249</v>
      </c>
      <c r="E120" s="7">
        <v>93.639037138790911</v>
      </c>
      <c r="F120" s="7">
        <v>88.7</v>
      </c>
      <c r="G120" s="7"/>
      <c r="H120" s="7"/>
      <c r="I120" s="7"/>
      <c r="J120" s="8">
        <f t="shared" si="10"/>
        <v>19.333333333333336</v>
      </c>
      <c r="K120" s="7">
        <f t="shared" si="15"/>
        <v>0.15399705886252946</v>
      </c>
      <c r="L120" s="7">
        <f t="shared" si="15"/>
        <v>0.20561503424069372</v>
      </c>
      <c r="M120" s="7">
        <f t="shared" si="15"/>
        <v>0.23359298807247342</v>
      </c>
      <c r="N120" s="7">
        <f t="shared" si="15"/>
        <v>0.27801202124693702</v>
      </c>
      <c r="O120" s="7">
        <f t="shared" si="15"/>
        <v>0.40000000000000568</v>
      </c>
      <c r="P120" s="7"/>
      <c r="Q120" s="8">
        <f t="shared" si="11"/>
        <v>19.333333333333336</v>
      </c>
      <c r="R120" s="8">
        <f t="shared" si="12"/>
        <v>3.2493785567341039E-2</v>
      </c>
      <c r="S120" s="8">
        <f t="shared" si="13"/>
        <v>8.6944859820166406E-2</v>
      </c>
      <c r="T120" s="8">
        <f>$M120*T$2*$AG$2/100</f>
        <v>0.18839312049119133</v>
      </c>
      <c r="U120" s="8">
        <f>$M120*U$2*$AG$2/100</f>
        <v>0.24558455701019732</v>
      </c>
      <c r="V120" s="8">
        <f>$M120*V$2*$AG$2/100</f>
        <v>0.30012217568339683</v>
      </c>
      <c r="W120" s="8">
        <f>$M120*W$2*$AG$2/100</f>
        <v>0.36677110903677723</v>
      </c>
      <c r="X120" s="8">
        <f>$M120*X$2*$AG$2/100</f>
        <v>0.44822094907767007</v>
      </c>
      <c r="Y120" s="8">
        <f>$M120*Y$2*$AG$2/100</f>
        <v>0.58428961171688176</v>
      </c>
      <c r="Z120" s="8">
        <f>$M120*Z$2*$AG$2/100</f>
        <v>0.71406336536320025</v>
      </c>
      <c r="AA120" s="8">
        <f>$N120*AA$2*$AG$2/100</f>
        <v>1.0385742672547442</v>
      </c>
      <c r="AB120" s="8">
        <f>$N120*AB$2*$AG$2/100</f>
        <v>1.3580849409557518</v>
      </c>
      <c r="AC120" s="8">
        <f>$N120*AC$2*$AG$2/100</f>
        <v>1.4558671637065534</v>
      </c>
      <c r="AD120" s="8">
        <f t="shared" si="14"/>
        <v>3.9929957440000567</v>
      </c>
      <c r="AE120" s="8"/>
      <c r="AF120" s="8"/>
      <c r="AG120" s="7"/>
    </row>
    <row r="121" spans="1:33" x14ac:dyDescent="0.25">
      <c r="A121" s="7">
        <v>81.25</v>
      </c>
      <c r="B121" s="7">
        <v>96.722932457894757</v>
      </c>
      <c r="C121" s="7">
        <v>95.552226896199528</v>
      </c>
      <c r="D121" s="7">
        <v>94.948402670352607</v>
      </c>
      <c r="E121" s="7">
        <v>93.912353385339074</v>
      </c>
      <c r="F121" s="7">
        <v>89.100000000000009</v>
      </c>
      <c r="G121" s="7"/>
      <c r="H121" s="7"/>
      <c r="I121" s="7"/>
      <c r="J121" s="8">
        <f t="shared" si="10"/>
        <v>19.5</v>
      </c>
      <c r="K121" s="7">
        <f t="shared" ref="K121:O148" si="16">B121-B120</f>
        <v>0.15103891857366136</v>
      </c>
      <c r="L121" s="7">
        <f t="shared" si="16"/>
        <v>0.20194550120982058</v>
      </c>
      <c r="M121" s="7">
        <f t="shared" si="16"/>
        <v>0.22941389694835834</v>
      </c>
      <c r="N121" s="7">
        <f t="shared" si="16"/>
        <v>0.27331624654816267</v>
      </c>
      <c r="O121" s="7">
        <f t="shared" si="16"/>
        <v>0.40000000000000568</v>
      </c>
      <c r="P121" s="7"/>
      <c r="Q121" s="8">
        <f t="shared" si="11"/>
        <v>19.5</v>
      </c>
      <c r="R121" s="8">
        <f t="shared" si="12"/>
        <v>3.1869610164677036E-2</v>
      </c>
      <c r="S121" s="8">
        <f t="shared" si="13"/>
        <v>8.53931880946385E-2</v>
      </c>
      <c r="T121" s="8">
        <f>$M121*T$2*$AG$2/100</f>
        <v>0.1850226767797353</v>
      </c>
      <c r="U121" s="8">
        <f>$M121*U$2*$AG$2/100</f>
        <v>0.24119093093909871</v>
      </c>
      <c r="V121" s="8">
        <f>$M121*V$2*$AG$2/100</f>
        <v>0.29475284533278096</v>
      </c>
      <c r="W121" s="8">
        <f>$M121*W$2*$AG$2/100</f>
        <v>0.360209397150623</v>
      </c>
      <c r="X121" s="8">
        <f>$M121*X$2*$AG$2/100</f>
        <v>0.44020206030284192</v>
      </c>
      <c r="Y121" s="8">
        <f>$M121*Y$2*$AG$2/100</f>
        <v>0.57383638899651013</v>
      </c>
      <c r="Z121" s="8">
        <f>$M121*Z$2*$AG$2/100</f>
        <v>0.70128842765265886</v>
      </c>
      <c r="AA121" s="8">
        <f>$N121*AA$2*$AG$2/100</f>
        <v>1.021032181322276</v>
      </c>
      <c r="AB121" s="8">
        <f>$N121*AB$2*$AG$2/100</f>
        <v>1.3351461454463946</v>
      </c>
      <c r="AC121" s="8">
        <f>$N121*AC$2*$AG$2/100</f>
        <v>1.4312767731132012</v>
      </c>
      <c r="AD121" s="8">
        <f t="shared" si="14"/>
        <v>3.9929957440000567</v>
      </c>
      <c r="AE121" s="8"/>
      <c r="AF121" s="8"/>
      <c r="AG121" s="7"/>
    </row>
    <row r="122" spans="1:33" x14ac:dyDescent="0.25">
      <c r="A122" s="7">
        <v>81.944444444444443</v>
      </c>
      <c r="B122" s="7">
        <v>96.871133644291007</v>
      </c>
      <c r="C122" s="7">
        <v>95.750646844759601</v>
      </c>
      <c r="D122" s="7">
        <v>95.173803839691701</v>
      </c>
      <c r="E122" s="7">
        <v>94.181157227000895</v>
      </c>
      <c r="F122" s="7">
        <v>89.500000000000014</v>
      </c>
      <c r="G122" s="7"/>
      <c r="H122" s="7"/>
      <c r="I122" s="7"/>
      <c r="J122" s="8">
        <f t="shared" si="10"/>
        <v>19.666666666666664</v>
      </c>
      <c r="K122" s="7">
        <f t="shared" si="16"/>
        <v>0.1482011863962498</v>
      </c>
      <c r="L122" s="7">
        <f t="shared" si="16"/>
        <v>0.19841994856007261</v>
      </c>
      <c r="M122" s="7">
        <f t="shared" si="16"/>
        <v>0.2254011693390936</v>
      </c>
      <c r="N122" s="7">
        <f t="shared" si="16"/>
        <v>0.26880384166182125</v>
      </c>
      <c r="O122" s="7">
        <f t="shared" si="16"/>
        <v>0.40000000000000568</v>
      </c>
      <c r="P122" s="7"/>
      <c r="Q122" s="8">
        <f t="shared" si="11"/>
        <v>19.666666666666664</v>
      </c>
      <c r="R122" s="8">
        <f t="shared" si="12"/>
        <v>3.1270841191091192E-2</v>
      </c>
      <c r="S122" s="8">
        <f t="shared" si="13"/>
        <v>8.3902398853215002E-2</v>
      </c>
      <c r="T122" s="8">
        <f>$M122*T$2*$AG$2/100</f>
        <v>0.18178640551051384</v>
      </c>
      <c r="U122" s="8">
        <f>$M122*U$2*$AG$2/100</f>
        <v>0.23697220870580066</v>
      </c>
      <c r="V122" s="8">
        <f>$M122*V$2*$AG$2/100</f>
        <v>0.28959726018249493</v>
      </c>
      <c r="W122" s="8">
        <f>$M122*W$2*$AG$2/100</f>
        <v>0.35390889743247267</v>
      </c>
      <c r="X122" s="8">
        <f>$M122*X$2*$AG$2/100</f>
        <v>0.43250239178001459</v>
      </c>
      <c r="Y122" s="8">
        <f>$M122*Y$2*$AG$2/100</f>
        <v>0.56379929380761062</v>
      </c>
      <c r="Z122" s="8">
        <f>$M122*Z$2*$AG$2/100</f>
        <v>0.68902204155690672</v>
      </c>
      <c r="AA122" s="8">
        <f>$N122*AA$2*$AG$2/100</f>
        <v>1.0041751131373495</v>
      </c>
      <c r="AB122" s="8">
        <f>$N122*AB$2*$AG$2/100</f>
        <v>1.3131031089757084</v>
      </c>
      <c r="AC122" s="8">
        <f>$N122*AC$2*$AG$2/100</f>
        <v>1.4076466362798794</v>
      </c>
      <c r="AD122" s="8">
        <f t="shared" si="14"/>
        <v>3.9929957440000567</v>
      </c>
      <c r="AE122" s="8"/>
      <c r="AF122" s="8"/>
      <c r="AG122" s="7"/>
    </row>
    <row r="123" spans="1:33" x14ac:dyDescent="0.25">
      <c r="A123" s="7">
        <v>82.638888888888886</v>
      </c>
      <c r="B123" s="7">
        <v>97.016610134844001</v>
      </c>
      <c r="C123" s="7">
        <v>95.945676624020365</v>
      </c>
      <c r="D123" s="7">
        <v>95.395348555664555</v>
      </c>
      <c r="E123" s="7">
        <v>94.445621000928909</v>
      </c>
      <c r="F123" s="7">
        <v>89.90000000000002</v>
      </c>
      <c r="G123" s="7"/>
      <c r="H123" s="7"/>
      <c r="I123" s="7"/>
      <c r="J123" s="8">
        <f t="shared" si="10"/>
        <v>19.833333333333332</v>
      </c>
      <c r="K123" s="7">
        <f t="shared" si="16"/>
        <v>0.14547649055299416</v>
      </c>
      <c r="L123" s="7">
        <f t="shared" si="16"/>
        <v>0.19502977926076426</v>
      </c>
      <c r="M123" s="7">
        <f t="shared" si="16"/>
        <v>0.22154471597285408</v>
      </c>
      <c r="N123" s="7">
        <f t="shared" si="16"/>
        <v>0.26446377392801423</v>
      </c>
      <c r="O123" s="7">
        <f t="shared" si="16"/>
        <v>0.40000000000000568</v>
      </c>
      <c r="P123" s="7"/>
      <c r="Q123" s="8">
        <f t="shared" si="11"/>
        <v>19.833333333333332</v>
      </c>
      <c r="R123" s="8">
        <f t="shared" si="12"/>
        <v>3.0695923182130977E-2</v>
      </c>
      <c r="S123" s="8">
        <f t="shared" si="13"/>
        <v>8.2468856818784034E-2</v>
      </c>
      <c r="T123" s="8">
        <f>$M123*T$2*$AG$2/100</f>
        <v>0.17867616966957667</v>
      </c>
      <c r="U123" s="8">
        <f>$M123*U$2*$AG$2/100</f>
        <v>0.23291778310256042</v>
      </c>
      <c r="V123" s="8">
        <f>$M123*V$2*$AG$2/100</f>
        <v>0.28464245745383482</v>
      </c>
      <c r="W123" s="8">
        <f>$M123*W$2*$AG$2/100</f>
        <v>0.3478537684247241</v>
      </c>
      <c r="X123" s="8">
        <f>$M123*X$2*$AG$2/100</f>
        <v>0.4251025840967747</v>
      </c>
      <c r="Y123" s="8">
        <f>$M123*Y$2*$AG$2/100</f>
        <v>0.55415308970466359</v>
      </c>
      <c r="Z123" s="8">
        <f>$M123*Z$2*$AG$2/100</f>
        <v>0.67723336548496538</v>
      </c>
      <c r="AA123" s="8">
        <f>$N123*AA$2*$AG$2/100</f>
        <v>0.98796184780350671</v>
      </c>
      <c r="AB123" s="8">
        <f>$N123*AB$2*$AG$2/100</f>
        <v>1.2919019371502072</v>
      </c>
      <c r="AC123" s="8">
        <f>$N123*AC$2*$AG$2/100</f>
        <v>1.3849189784125255</v>
      </c>
      <c r="AD123" s="8">
        <f t="shared" si="14"/>
        <v>3.9929957440000567</v>
      </c>
      <c r="AE123" s="8"/>
      <c r="AF123" s="8"/>
      <c r="AG123" s="7"/>
    </row>
    <row r="124" spans="1:33" x14ac:dyDescent="0.25">
      <c r="A124" s="7">
        <v>83.333333333333343</v>
      </c>
      <c r="B124" s="7">
        <v>97.159468180954761</v>
      </c>
      <c r="C124" s="7">
        <v>96.137443705388634</v>
      </c>
      <c r="D124" s="7">
        <v>95.613183815442468</v>
      </c>
      <c r="E124" s="7">
        <v>94.70590689758383</v>
      </c>
      <c r="F124" s="7">
        <v>90.300000000000026</v>
      </c>
      <c r="G124" s="7"/>
      <c r="H124" s="7"/>
      <c r="I124" s="7"/>
      <c r="J124" s="8">
        <f t="shared" si="10"/>
        <v>20.000000000000004</v>
      </c>
      <c r="K124" s="7">
        <f t="shared" si="16"/>
        <v>0.14285804611076003</v>
      </c>
      <c r="L124" s="7">
        <f t="shared" si="16"/>
        <v>0.19176708136826903</v>
      </c>
      <c r="M124" s="7">
        <f t="shared" si="16"/>
        <v>0.21783525977791385</v>
      </c>
      <c r="N124" s="7">
        <f t="shared" si="16"/>
        <v>0.26028589665492063</v>
      </c>
      <c r="O124" s="7">
        <f t="shared" si="16"/>
        <v>0.40000000000000568</v>
      </c>
      <c r="P124" s="7"/>
      <c r="Q124" s="8">
        <f t="shared" si="11"/>
        <v>20.000000000000004</v>
      </c>
      <c r="R124" s="8">
        <f t="shared" si="12"/>
        <v>3.0143424499010644E-2</v>
      </c>
      <c r="S124" s="8">
        <f t="shared" si="13"/>
        <v>8.1089216405104553E-2</v>
      </c>
      <c r="T124" s="8">
        <f>$M124*T$2*$AG$2/100</f>
        <v>0.17568448728365951</v>
      </c>
      <c r="U124" s="8">
        <f>$M124*U$2*$AG$2/100</f>
        <v>0.22901790081628012</v>
      </c>
      <c r="V124" s="8">
        <f>$M124*V$2*$AG$2/100</f>
        <v>0.27987651788940615</v>
      </c>
      <c r="W124" s="8">
        <f>$M124*W$2*$AG$2/100</f>
        <v>0.34202944392865037</v>
      </c>
      <c r="X124" s="8">
        <f>$M124*X$2*$AG$2/100</f>
        <v>0.41798483629972899</v>
      </c>
      <c r="Y124" s="8">
        <f>$M124*Y$2*$AG$2/100</f>
        <v>0.54487457181032517</v>
      </c>
      <c r="Z124" s="8">
        <f>$M124*Z$2*$AG$2/100</f>
        <v>0.66589404063586255</v>
      </c>
      <c r="AA124" s="8">
        <f>$N124*AA$2*$AG$2/100</f>
        <v>0.97235448015040293</v>
      </c>
      <c r="AB124" s="8">
        <f>$N124*AB$2*$AG$2/100</f>
        <v>1.2714930635184083</v>
      </c>
      <c r="AC124" s="8">
        <f>$N124*AC$2*$AG$2/100</f>
        <v>1.3630406642712447</v>
      </c>
      <c r="AD124" s="8">
        <f t="shared" si="14"/>
        <v>3.9929957440000567</v>
      </c>
      <c r="AE124" s="8"/>
      <c r="AF124" s="8"/>
      <c r="AG124" s="7"/>
    </row>
    <row r="125" spans="1:33" x14ac:dyDescent="0.25">
      <c r="A125" s="7">
        <v>84.027777777777786</v>
      </c>
      <c r="B125" s="7">
        <v>97.299807799710351</v>
      </c>
      <c r="C125" s="7">
        <v>96.326068259302545</v>
      </c>
      <c r="D125" s="7">
        <v>95.827448070545046</v>
      </c>
      <c r="E125" s="7">
        <v>94.962167759220534</v>
      </c>
      <c r="F125" s="7">
        <v>90.700000000000031</v>
      </c>
      <c r="G125" s="7"/>
      <c r="H125" s="7"/>
      <c r="I125" s="7"/>
      <c r="J125" s="8">
        <f t="shared" si="10"/>
        <v>20.166666666666671</v>
      </c>
      <c r="K125" s="7">
        <f t="shared" si="16"/>
        <v>0.14033961875558987</v>
      </c>
      <c r="L125" s="7">
        <f t="shared" si="16"/>
        <v>0.18862455391391109</v>
      </c>
      <c r="M125" s="7">
        <f t="shared" si="16"/>
        <v>0.21426425510257729</v>
      </c>
      <c r="N125" s="7">
        <f t="shared" si="16"/>
        <v>0.25626086163670436</v>
      </c>
      <c r="O125" s="7">
        <f t="shared" si="16"/>
        <v>0.40000000000000568</v>
      </c>
      <c r="P125" s="7"/>
      <c r="Q125" s="8">
        <f t="shared" si="11"/>
        <v>20.166666666666671</v>
      </c>
      <c r="R125" s="8">
        <f t="shared" si="12"/>
        <v>2.9612029685042961E-2</v>
      </c>
      <c r="S125" s="8">
        <f t="shared" si="13"/>
        <v>7.9760390378305679E-2</v>
      </c>
      <c r="T125" s="8">
        <f>$M125*T$2*$AG$2/100</f>
        <v>0.1728044662709288</v>
      </c>
      <c r="U125" s="8">
        <f>$M125*U$2*$AG$2/100</f>
        <v>0.22526357750156753</v>
      </c>
      <c r="V125" s="8">
        <f>$M125*V$2*$AG$2/100</f>
        <v>0.27528846196623319</v>
      </c>
      <c r="W125" s="8">
        <f>$M125*W$2*$AG$2/100</f>
        <v>0.33642250616927571</v>
      </c>
      <c r="X125" s="8">
        <f>$M125*X$2*$AG$2/100</f>
        <v>0.41113275089276657</v>
      </c>
      <c r="Y125" s="8">
        <f>$M125*Y$2*$AG$2/100</f>
        <v>0.53594236475904067</v>
      </c>
      <c r="Z125" s="8">
        <f>$M125*Z$2*$AG$2/100</f>
        <v>0.65497794406447307</v>
      </c>
      <c r="AA125" s="8">
        <f>$N125*AA$2*$AG$2/100</f>
        <v>0.95731808792545825</v>
      </c>
      <c r="AB125" s="8">
        <f>$N125*AB$2*$AG$2/100</f>
        <v>1.2518308222220014</v>
      </c>
      <c r="AC125" s="8">
        <f>$N125*AC$2*$AG$2/100</f>
        <v>1.3419627400523308</v>
      </c>
      <c r="AD125" s="8">
        <f t="shared" si="14"/>
        <v>3.9929957440000567</v>
      </c>
      <c r="AE125" s="8"/>
      <c r="AF125" s="8"/>
      <c r="AG125" s="7"/>
    </row>
    <row r="126" spans="1:33" x14ac:dyDescent="0.25">
      <c r="A126" s="7">
        <v>84.722222222222214</v>
      </c>
      <c r="B126" s="7">
        <v>97.437723248430828</v>
      </c>
      <c r="C126" s="7">
        <v>96.51166371197786</v>
      </c>
      <c r="D126" s="7">
        <v>96.038271886979587</v>
      </c>
      <c r="E126" s="7">
        <v>95.214547798954527</v>
      </c>
      <c r="F126" s="7">
        <v>91.100000000000037</v>
      </c>
      <c r="G126" s="7"/>
      <c r="H126" s="7"/>
      <c r="I126" s="7"/>
      <c r="J126" s="8">
        <f t="shared" si="10"/>
        <v>20.333333333333329</v>
      </c>
      <c r="K126" s="7">
        <f t="shared" si="16"/>
        <v>0.13791544872047723</v>
      </c>
      <c r="L126" s="7">
        <f t="shared" si="16"/>
        <v>0.18559545267531519</v>
      </c>
      <c r="M126" s="7">
        <f t="shared" si="16"/>
        <v>0.21082381643454084</v>
      </c>
      <c r="N126" s="7">
        <f t="shared" si="16"/>
        <v>0.25238003973399259</v>
      </c>
      <c r="O126" s="7">
        <f t="shared" si="16"/>
        <v>0.40000000000000568</v>
      </c>
      <c r="P126" s="7"/>
      <c r="Q126" s="8">
        <f t="shared" si="11"/>
        <v>20.333333333333329</v>
      </c>
      <c r="R126" s="8">
        <f t="shared" si="12"/>
        <v>2.9100523414198914E-2</v>
      </c>
      <c r="S126" s="8">
        <f t="shared" si="13"/>
        <v>7.8479526926158907E-2</v>
      </c>
      <c r="T126" s="8">
        <f>$M126*T$2*$AG$2/100</f>
        <v>0.17002974695303189</v>
      </c>
      <c r="U126" s="8">
        <f>$M126*U$2*$AG$2/100</f>
        <v>0.22164652284088418</v>
      </c>
      <c r="V126" s="8">
        <f>$M126*V$2*$AG$2/100</f>
        <v>0.2708681583138135</v>
      </c>
      <c r="W126" s="8">
        <f>$M126*W$2*$AG$2/100</f>
        <v>0.33102057387558353</v>
      </c>
      <c r="X126" s="8">
        <f>$M126*X$2*$AG$2/100</f>
        <v>0.40453119706293855</v>
      </c>
      <c r="Y126" s="8">
        <f>$M126*Y$2*$AG$2/100</f>
        <v>0.52733674440172473</v>
      </c>
      <c r="Z126" s="8">
        <f>$M126*Z$2*$AG$2/100</f>
        <v>0.6444609707858846</v>
      </c>
      <c r="AA126" s="8">
        <f>$N126*AA$2*$AG$2/100</f>
        <v>0.94282043510498881</v>
      </c>
      <c r="AB126" s="8">
        <f>$N126*AB$2*$AG$2/100</f>
        <v>1.2328730600325644</v>
      </c>
      <c r="AC126" s="8">
        <f>$N126*AC$2*$AG$2/100</f>
        <v>1.3216400174915934</v>
      </c>
      <c r="AD126" s="8">
        <f t="shared" si="14"/>
        <v>3.9929957440000567</v>
      </c>
      <c r="AE126" s="8"/>
      <c r="AF126" s="8"/>
      <c r="AG126" s="7"/>
    </row>
    <row r="127" spans="1:33" x14ac:dyDescent="0.25">
      <c r="A127" s="7">
        <v>85.416666666666657</v>
      </c>
      <c r="B127" s="7">
        <v>97.573303466613581</v>
      </c>
      <c r="C127" s="7">
        <v>96.694337251540915</v>
      </c>
      <c r="D127" s="7">
        <v>96.245778542315506</v>
      </c>
      <c r="E127" s="7">
        <v>95.463183253101974</v>
      </c>
      <c r="F127" s="7">
        <v>91.500000000000043</v>
      </c>
      <c r="G127" s="7"/>
      <c r="H127" s="7"/>
      <c r="I127" s="7"/>
      <c r="J127" s="8">
        <f t="shared" si="10"/>
        <v>20.5</v>
      </c>
      <c r="K127" s="7">
        <f t="shared" si="16"/>
        <v>0.13558021818275279</v>
      </c>
      <c r="L127" s="7">
        <f t="shared" si="16"/>
        <v>0.18267353956305499</v>
      </c>
      <c r="M127" s="7">
        <f t="shared" si="16"/>
        <v>0.20750665533591928</v>
      </c>
      <c r="N127" s="7">
        <f t="shared" si="16"/>
        <v>0.24863545414744692</v>
      </c>
      <c r="O127" s="7">
        <f t="shared" si="16"/>
        <v>0.40000000000000568</v>
      </c>
      <c r="P127" s="7"/>
      <c r="Q127" s="8">
        <f t="shared" si="11"/>
        <v>20.5</v>
      </c>
      <c r="R127" s="8">
        <f t="shared" si="12"/>
        <v>2.8607783611870208E-2</v>
      </c>
      <c r="S127" s="8">
        <f t="shared" si="13"/>
        <v>7.7243988256088775E-2</v>
      </c>
      <c r="T127" s="8">
        <f>$M127*T$2*$AG$2/100</f>
        <v>0.16735445119309489</v>
      </c>
      <c r="U127" s="8">
        <f>$M127*U$2*$AG$2/100</f>
        <v>0.21815907424211164</v>
      </c>
      <c r="V127" s="8">
        <f>$M127*V$2*$AG$2/100</f>
        <v>0.26660624268772559</v>
      </c>
      <c r="W127" s="8">
        <f>$M127*W$2*$AG$2/100</f>
        <v>0.32581220326037647</v>
      </c>
      <c r="X127" s="8">
        <f>$M127*X$2*$AG$2/100</f>
        <v>0.39816618967065159</v>
      </c>
      <c r="Y127" s="8">
        <f>$M127*Y$2*$AG$2/100</f>
        <v>0.51903948006040534</v>
      </c>
      <c r="Z127" s="8">
        <f>$M127*Z$2*$AG$2/100</f>
        <v>0.63432084099398056</v>
      </c>
      <c r="AA127" s="8">
        <f>$N127*AA$2*$AG$2/100</f>
        <v>0.92883172262314606</v>
      </c>
      <c r="AB127" s="8">
        <f>$N127*AB$2*$AG$2/100</f>
        <v>1.2145808103938678</v>
      </c>
      <c r="AC127" s="8">
        <f>$N127*AC$2*$AG$2/100</f>
        <v>1.302030724437685</v>
      </c>
      <c r="AD127" s="8">
        <f t="shared" si="14"/>
        <v>3.9929957440000567</v>
      </c>
      <c r="AE127" s="8"/>
      <c r="AF127" s="8"/>
      <c r="AG127" s="7"/>
    </row>
    <row r="128" spans="1:33" x14ac:dyDescent="0.25">
      <c r="A128" s="7">
        <v>86.111111111111114</v>
      </c>
      <c r="B128" s="7">
        <v>97.706632474407741</v>
      </c>
      <c r="C128" s="7">
        <v>96.87419028354843</v>
      </c>
      <c r="D128" s="7">
        <v>96.450084566824728</v>
      </c>
      <c r="E128" s="7">
        <v>95.708202970738611</v>
      </c>
      <c r="F128" s="7">
        <v>91.900000000000048</v>
      </c>
      <c r="G128" s="7"/>
      <c r="H128" s="7"/>
      <c r="I128" s="7"/>
      <c r="J128" s="8">
        <f t="shared" si="10"/>
        <v>20.666666666666671</v>
      </c>
      <c r="K128" s="7">
        <f t="shared" si="16"/>
        <v>0.13332900779415979</v>
      </c>
      <c r="L128" s="7">
        <f t="shared" si="16"/>
        <v>0.17985303200751446</v>
      </c>
      <c r="M128" s="7">
        <f t="shared" si="16"/>
        <v>0.20430602450922208</v>
      </c>
      <c r="N128" s="7">
        <f t="shared" si="16"/>
        <v>0.24501971763663732</v>
      </c>
      <c r="O128" s="7">
        <f t="shared" si="16"/>
        <v>0.40000000000000568</v>
      </c>
      <c r="P128" s="7"/>
      <c r="Q128" s="8">
        <f t="shared" si="11"/>
        <v>20.666666666666671</v>
      </c>
      <c r="R128" s="8">
        <f t="shared" si="12"/>
        <v>2.813277228260053E-2</v>
      </c>
      <c r="S128" s="8">
        <f t="shared" si="13"/>
        <v>7.6051329193273731E-2</v>
      </c>
      <c r="T128" s="8">
        <f>$M128*T$2*$AG$2/100</f>
        <v>0.16477313728484216</v>
      </c>
      <c r="U128" s="8">
        <f>$M128*U$2*$AG$2/100</f>
        <v>0.21479413803313716</v>
      </c>
      <c r="V128" s="8">
        <f>$M128*V$2*$AG$2/100</f>
        <v>0.26249404610513943</v>
      </c>
      <c r="W128" s="8">
        <f>$M128*W$2*$AG$2/100</f>
        <v>0.32078680019664746</v>
      </c>
      <c r="X128" s="8">
        <f>$M128*X$2*$AG$2/100</f>
        <v>0.39202478192281126</v>
      </c>
      <c r="Y128" s="8">
        <f>$M128*Y$2*$AG$2/100</f>
        <v>0.51103369461962078</v>
      </c>
      <c r="Z128" s="8">
        <f>$M128*Z$2*$AG$2/100</f>
        <v>0.62453692907840741</v>
      </c>
      <c r="AA128" s="8">
        <f>$N128*AA$2*$AG$2/100</f>
        <v>0.91532435383938837</v>
      </c>
      <c r="AB128" s="8">
        <f>$N128*AB$2*$AG$2/100</f>
        <v>1.1969179867369268</v>
      </c>
      <c r="AC128" s="8">
        <f>$N128*AC$2*$AG$2/100</f>
        <v>1.2830961760858099</v>
      </c>
      <c r="AD128" s="8">
        <f t="shared" si="14"/>
        <v>3.9929957440000567</v>
      </c>
      <c r="AE128" s="8"/>
      <c r="AF128" s="8"/>
      <c r="AG128" s="7"/>
    </row>
    <row r="129" spans="1:33" x14ac:dyDescent="0.25">
      <c r="A129" s="7">
        <v>86.805555555555557</v>
      </c>
      <c r="B129" s="7">
        <v>97.837789727618755</v>
      </c>
      <c r="C129" s="7">
        <v>97.051318841316686</v>
      </c>
      <c r="D129" s="7">
        <v>96.651300234889618</v>
      </c>
      <c r="E129" s="7">
        <v>95.949728949740376</v>
      </c>
      <c r="F129" s="7">
        <v>92.300000000000054</v>
      </c>
      <c r="G129" s="7"/>
      <c r="H129" s="7"/>
      <c r="I129" s="7"/>
      <c r="J129" s="8">
        <f t="shared" si="10"/>
        <v>20.833333333333336</v>
      </c>
      <c r="K129" s="7">
        <f t="shared" si="16"/>
        <v>0.13115725321101479</v>
      </c>
      <c r="L129" s="7">
        <f t="shared" si="16"/>
        <v>0.1771285577682562</v>
      </c>
      <c r="M129" s="7">
        <f t="shared" si="16"/>
        <v>0.20121566806489</v>
      </c>
      <c r="N129" s="7">
        <f t="shared" si="16"/>
        <v>0.24152597900176431</v>
      </c>
      <c r="O129" s="7">
        <f t="shared" si="16"/>
        <v>0.40000000000000568</v>
      </c>
      <c r="P129" s="7"/>
      <c r="Q129" s="8">
        <f t="shared" si="11"/>
        <v>20.833333333333336</v>
      </c>
      <c r="R129" s="8">
        <f t="shared" si="12"/>
        <v>2.7674526337834796E-2</v>
      </c>
      <c r="S129" s="8">
        <f t="shared" si="13"/>
        <v>7.4899278071668143E-2</v>
      </c>
      <c r="T129" s="8">
        <f>$M129*T$2*$AG$2/100</f>
        <v>0.16228075984328491</v>
      </c>
      <c r="U129" s="8">
        <f>$M129*U$2*$AG$2/100</f>
        <v>0.21154513717635873</v>
      </c>
      <c r="V129" s="8">
        <f>$M129*V$2*$AG$2/100</f>
        <v>0.25852353094814168</v>
      </c>
      <c r="W129" s="8">
        <f>$M129*W$2*$AG$2/100</f>
        <v>0.31593454213119998</v>
      </c>
      <c r="X129" s="8">
        <f>$M129*X$2*$AG$2/100</f>
        <v>0.386094969945591</v>
      </c>
      <c r="Y129" s="8">
        <f>$M129*Y$2*$AG$2/100</f>
        <v>0.50330374012986812</v>
      </c>
      <c r="Z129" s="8">
        <f>$M129*Z$2*$AG$2/100</f>
        <v>0.6150901115989077</v>
      </c>
      <c r="AA129" s="8">
        <f>$N129*AA$2*$AG$2/100</f>
        <v>0.90227273460933388</v>
      </c>
      <c r="AB129" s="8">
        <f>$N129*AB$2*$AG$2/100</f>
        <v>1.1798511210439431</v>
      </c>
      <c r="AC129" s="8">
        <f>$N129*AC$2*$AG$2/100</f>
        <v>1.2648004947182525</v>
      </c>
      <c r="AD129" s="8">
        <f t="shared" si="14"/>
        <v>3.9929957440000567</v>
      </c>
      <c r="AE129" s="8"/>
      <c r="AF129" s="8"/>
      <c r="AG129" s="7"/>
    </row>
    <row r="130" spans="1:33" x14ac:dyDescent="0.25">
      <c r="A130" s="7">
        <v>87.5</v>
      </c>
      <c r="B130" s="7">
        <v>97.966850454600404</v>
      </c>
      <c r="C130" s="7">
        <v>97.22581397275178</v>
      </c>
      <c r="D130" s="7">
        <v>96.849530012093354</v>
      </c>
      <c r="E130" s="7">
        <v>96.187876824623274</v>
      </c>
      <c r="F130" s="7">
        <v>92.70000000000006</v>
      </c>
      <c r="G130" s="7"/>
      <c r="H130" s="7"/>
      <c r="I130" s="7"/>
      <c r="J130" s="8">
        <f t="shared" si="10"/>
        <v>21</v>
      </c>
      <c r="K130" s="7">
        <f t="shared" si="16"/>
        <v>0.12906072698164905</v>
      </c>
      <c r="L130" s="7">
        <f t="shared" si="16"/>
        <v>0.17449513143509421</v>
      </c>
      <c r="M130" s="7">
        <f t="shared" si="16"/>
        <v>0.19822977720373558</v>
      </c>
      <c r="N130" s="7">
        <f t="shared" si="16"/>
        <v>0.23814787488289824</v>
      </c>
      <c r="O130" s="7">
        <f t="shared" si="16"/>
        <v>0.40000000000000568</v>
      </c>
      <c r="P130" s="7"/>
      <c r="Q130" s="8">
        <f t="shared" si="11"/>
        <v>21</v>
      </c>
      <c r="R130" s="8">
        <f t="shared" si="12"/>
        <v>2.723215377412155E-2</v>
      </c>
      <c r="S130" s="8">
        <f t="shared" si="13"/>
        <v>7.3785726797419002E-2</v>
      </c>
      <c r="T130" s="8">
        <f>$M130*T$2*$AG$2/100</f>
        <v>0.15987263406253807</v>
      </c>
      <c r="U130" s="8">
        <f>$M130*U$2*$AG$2/100</f>
        <v>0.20840596467606989</v>
      </c>
      <c r="V130" s="8">
        <f>$M130*V$2*$AG$2/100</f>
        <v>0.25468723402417409</v>
      </c>
      <c r="W130" s="8">
        <f>$M130*W$2*$AG$2/100</f>
        <v>0.31124630850036594</v>
      </c>
      <c r="X130" s="8">
        <f>$M130*X$2*$AG$2/100</f>
        <v>0.38036560774738265</v>
      </c>
      <c r="Y130" s="8">
        <f>$M130*Y$2*$AG$2/100</f>
        <v>0.4958350869554346</v>
      </c>
      <c r="Z130" s="8">
        <f>$M130*Z$2*$AG$2/100</f>
        <v>0.60596263181230714</v>
      </c>
      <c r="AA130" s="8">
        <f>$N130*AA$2*$AG$2/100</f>
        <v>0.88965309322035468</v>
      </c>
      <c r="AB130" s="8">
        <f>$N130*AB$2*$AG$2/100</f>
        <v>1.1633491283882456</v>
      </c>
      <c r="AC130" s="8">
        <f>$N130*AC$2*$AG$2/100</f>
        <v>1.247110357291171</v>
      </c>
      <c r="AD130" s="8">
        <f t="shared" si="14"/>
        <v>3.9929957440000567</v>
      </c>
      <c r="AE130" s="8"/>
      <c r="AF130" s="8"/>
      <c r="AG130" s="7"/>
    </row>
    <row r="131" spans="1:33" x14ac:dyDescent="0.25">
      <c r="A131" s="7">
        <v>88.194444444444443</v>
      </c>
      <c r="B131" s="7">
        <v>98.093885946054414</v>
      </c>
      <c r="C131" s="7">
        <v>97.3977620783742</v>
      </c>
      <c r="D131" s="7">
        <v>97.044872962726458</v>
      </c>
      <c r="E131" s="7">
        <v>96.422756310813895</v>
      </c>
      <c r="F131" s="7">
        <v>93.100000000000065</v>
      </c>
      <c r="G131" s="7"/>
      <c r="H131" s="7"/>
      <c r="I131" s="7"/>
      <c r="J131" s="8">
        <f t="shared" si="10"/>
        <v>21.166666666666664</v>
      </c>
      <c r="K131" s="7">
        <f t="shared" si="16"/>
        <v>0.12703549145400928</v>
      </c>
      <c r="L131" s="7">
        <f t="shared" si="16"/>
        <v>0.17194810562241969</v>
      </c>
      <c r="M131" s="7">
        <f t="shared" si="16"/>
        <v>0.19534295063310481</v>
      </c>
      <c r="N131" s="7">
        <f t="shared" si="16"/>
        <v>0.23487948619062138</v>
      </c>
      <c r="O131" s="7">
        <f t="shared" si="16"/>
        <v>0.40000000000000568</v>
      </c>
      <c r="P131" s="7"/>
      <c r="Q131" s="8">
        <f t="shared" si="11"/>
        <v>21.166666666666664</v>
      </c>
      <c r="R131" s="8">
        <f t="shared" si="12"/>
        <v>2.6804823736492508E-2</v>
      </c>
      <c r="S131" s="8">
        <f t="shared" si="13"/>
        <v>7.2708710211257785E-2</v>
      </c>
      <c r="T131" s="8">
        <f>$M131*T$2*$AG$2/100</f>
        <v>0.15754440379139109</v>
      </c>
      <c r="U131" s="8">
        <f>$M131*U$2*$AG$2/100</f>
        <v>0.20537094196257275</v>
      </c>
      <c r="V131" s="8">
        <f>$M131*V$2*$AG$2/100</f>
        <v>0.25097821570839507</v>
      </c>
      <c r="W131" s="8">
        <f>$M131*W$2*$AG$2/100</f>
        <v>0.3067136185782755</v>
      </c>
      <c r="X131" s="8">
        <f>$M131*X$2*$AG$2/100</f>
        <v>0.37482633126486548</v>
      </c>
      <c r="Y131" s="8">
        <f>$M131*Y$2*$AG$2/100</f>
        <v>0.48861422476275385</v>
      </c>
      <c r="Z131" s="8">
        <f>$M131*Z$2*$AG$2/100</f>
        <v>0.59713797866987206</v>
      </c>
      <c r="AA131" s="8">
        <f>$N131*AA$2*$AG$2/100</f>
        <v>0.87744331762878036</v>
      </c>
      <c r="AB131" s="8">
        <f>$N131*AB$2*$AG$2/100</f>
        <v>1.1473830940985676</v>
      </c>
      <c r="AC131" s="8">
        <f>$N131*AC$2*$AG$2/100</f>
        <v>1.2299947672746905</v>
      </c>
      <c r="AD131" s="8">
        <f t="shared" si="14"/>
        <v>3.9929957440000567</v>
      </c>
      <c r="AE131" s="8"/>
      <c r="AF131" s="8"/>
      <c r="AG131" s="7"/>
    </row>
    <row r="132" spans="1:33" x14ac:dyDescent="0.25">
      <c r="A132" s="7">
        <v>88.888888888888886</v>
      </c>
      <c r="B132" s="7">
        <v>98.218963830340016</v>
      </c>
      <c r="C132" s="7">
        <v>97.567245231267208</v>
      </c>
      <c r="D132" s="7">
        <v>97.237423121864765</v>
      </c>
      <c r="E132" s="7">
        <v>96.654471610668026</v>
      </c>
      <c r="F132" s="7">
        <v>93.500000000000071</v>
      </c>
      <c r="G132" s="7"/>
      <c r="H132" s="7"/>
      <c r="I132" s="7"/>
      <c r="J132" s="8">
        <f t="shared" si="10"/>
        <v>21.333333333333329</v>
      </c>
      <c r="K132" s="7">
        <f t="shared" si="16"/>
        <v>0.12507788428560218</v>
      </c>
      <c r="L132" s="7">
        <f t="shared" si="16"/>
        <v>0.16948315289300808</v>
      </c>
      <c r="M132" s="7">
        <f t="shared" si="16"/>
        <v>0.19255015913830675</v>
      </c>
      <c r="N132" s="7">
        <f t="shared" si="16"/>
        <v>0.23171529985413031</v>
      </c>
      <c r="O132" s="7">
        <f t="shared" si="16"/>
        <v>0.40000000000000568</v>
      </c>
      <c r="P132" s="7"/>
      <c r="Q132" s="8">
        <f t="shared" si="11"/>
        <v>21.333333333333329</v>
      </c>
      <c r="R132" s="8">
        <f t="shared" si="12"/>
        <v>2.6391763461022611E-2</v>
      </c>
      <c r="S132" s="8">
        <f t="shared" si="13"/>
        <v>7.1666398444934568E-2</v>
      </c>
      <c r="T132" s="8">
        <f>$M132*T$2*$AG$2/100</f>
        <v>0.15529201296010883</v>
      </c>
      <c r="U132" s="8">
        <f>$M132*U$2*$AG$2/100</f>
        <v>0.20243478164487075</v>
      </c>
      <c r="V132" s="8">
        <f>$M132*V$2*$AG$2/100</f>
        <v>0.24739001442476397</v>
      </c>
      <c r="W132" s="8">
        <f>$M132*W$2*$AG$2/100</f>
        <v>0.30232857584943401</v>
      </c>
      <c r="X132" s="8">
        <f>$M132*X$2*$AG$2/100</f>
        <v>0.36946749038225279</v>
      </c>
      <c r="Y132" s="8">
        <f>$M132*Y$2*$AG$2/100</f>
        <v>0.48162857390239722</v>
      </c>
      <c r="Z132" s="8">
        <f>$M132*Z$2*$AG$2/100</f>
        <v>0.5886007785167815</v>
      </c>
      <c r="AA132" s="8">
        <f>$N132*AA$2*$AG$2/100</f>
        <v>0.86562281256162787</v>
      </c>
      <c r="AB132" s="8">
        <f>$N132*AB$2*$AG$2/100</f>
        <v>1.1319260868990495</v>
      </c>
      <c r="AC132" s="8">
        <f>$N132*AC$2*$AG$2/100</f>
        <v>1.213424854338967</v>
      </c>
      <c r="AD132" s="8">
        <f t="shared" si="14"/>
        <v>3.9929957440000567</v>
      </c>
      <c r="AE132" s="8"/>
      <c r="AF132" s="8"/>
      <c r="AG132" s="7"/>
    </row>
    <row r="133" spans="1:33" x14ac:dyDescent="0.25">
      <c r="A133" s="7">
        <v>89.583333333333343</v>
      </c>
      <c r="B133" s="7">
        <v>98.34214832704869</v>
      </c>
      <c r="C133" s="7">
        <v>97.734341464488011</v>
      </c>
      <c r="D133" s="7">
        <v>97.427269835670629</v>
      </c>
      <c r="E133" s="7">
        <v>96.883121785011127</v>
      </c>
      <c r="F133" s="7">
        <v>93.900000000000077</v>
      </c>
      <c r="G133" s="7"/>
      <c r="H133" s="7"/>
      <c r="I133" s="7"/>
      <c r="J133" s="8">
        <f t="shared" ref="J133:J148" si="17">A133*24/100</f>
        <v>21.5</v>
      </c>
      <c r="K133" s="7">
        <f t="shared" si="16"/>
        <v>0.12318449670867437</v>
      </c>
      <c r="L133" s="7">
        <f t="shared" si="16"/>
        <v>0.16709623322080347</v>
      </c>
      <c r="M133" s="7">
        <f t="shared" si="16"/>
        <v>0.18984671380586349</v>
      </c>
      <c r="N133" s="7">
        <f t="shared" si="16"/>
        <v>0.22865017434310175</v>
      </c>
      <c r="O133" s="7">
        <f t="shared" si="16"/>
        <v>0.40000000000000568</v>
      </c>
      <c r="P133" s="7"/>
      <c r="Q133" s="8">
        <f t="shared" ref="Q133:Q148" si="18">J133</f>
        <v>21.5</v>
      </c>
      <c r="R133" s="8">
        <f t="shared" ref="R133:R148" si="19">$K133*R$2*$AG$2/100</f>
        <v>2.5992253688725722E-2</v>
      </c>
      <c r="S133" s="8">
        <f t="shared" ref="S133:S148" si="20">$L133*S$2*$AG$2/100</f>
        <v>7.0657083162770459E-2</v>
      </c>
      <c r="T133" s="8">
        <f>$M133*T$2*$AG$2/100</f>
        <v>0.15311167995243175</v>
      </c>
      <c r="U133" s="8">
        <f>$M133*U$2*$AG$2/100</f>
        <v>0.19959255410264945</v>
      </c>
      <c r="V133" s="8">
        <f>$M133*V$2*$AG$2/100</f>
        <v>0.24391660581901306</v>
      </c>
      <c r="W133" s="8">
        <f>$M133*W$2*$AG$2/100</f>
        <v>0.29808381811512702</v>
      </c>
      <c r="X133" s="8">
        <f>$M133*X$2*$AG$2/100</f>
        <v>0.36428008795769296</v>
      </c>
      <c r="Y133" s="8">
        <f>$M133*Y$2*$AG$2/100</f>
        <v>0.47486640592541574</v>
      </c>
      <c r="Z133" s="8">
        <f>$M133*Z$2*$AG$2/100</f>
        <v>0.58033669795473586</v>
      </c>
      <c r="AA133" s="8">
        <f>$N133*AA$2*$AG$2/100</f>
        <v>0.85417237071604757</v>
      </c>
      <c r="AB133" s="8">
        <f>$N133*AB$2*$AG$2/100</f>
        <v>1.1169529904840219</v>
      </c>
      <c r="AC133" s="8">
        <f>$N133*AC$2*$AG$2/100</f>
        <v>1.1973736938023434</v>
      </c>
      <c r="AD133" s="8">
        <f t="shared" ref="AD133:AD148" si="21">$O133*AD$2*$AG$2/100</f>
        <v>3.9929957440000567</v>
      </c>
      <c r="AE133" s="8"/>
      <c r="AF133" s="8"/>
      <c r="AG133" s="7"/>
    </row>
    <row r="134" spans="1:33" x14ac:dyDescent="0.25">
      <c r="A134" s="7">
        <v>90.277777777777786</v>
      </c>
      <c r="B134" s="7">
        <v>98.463500471598749</v>
      </c>
      <c r="C134" s="7">
        <v>97.899125036787609</v>
      </c>
      <c r="D134" s="7">
        <v>97.614498073135863</v>
      </c>
      <c r="E134" s="7">
        <v>97.108801092773703</v>
      </c>
      <c r="F134" s="7">
        <v>94.300000000000082</v>
      </c>
      <c r="G134" s="7"/>
      <c r="H134" s="7"/>
      <c r="I134" s="7"/>
      <c r="J134" s="8">
        <f t="shared" si="17"/>
        <v>21.666666666666671</v>
      </c>
      <c r="K134" s="7">
        <f t="shared" si="16"/>
        <v>0.12135214455005894</v>
      </c>
      <c r="L134" s="7">
        <f t="shared" si="16"/>
        <v>0.16478357229959784</v>
      </c>
      <c r="M134" s="7">
        <f t="shared" si="16"/>
        <v>0.18722823746523432</v>
      </c>
      <c r="N134" s="7">
        <f t="shared" si="16"/>
        <v>0.22567930776257583</v>
      </c>
      <c r="O134" s="7">
        <f t="shared" si="16"/>
        <v>0.40000000000000568</v>
      </c>
      <c r="P134" s="7"/>
      <c r="Q134" s="8">
        <f t="shared" si="18"/>
        <v>21.666666666666671</v>
      </c>
      <c r="R134" s="8">
        <f t="shared" si="19"/>
        <v>2.5605622550665775E-2</v>
      </c>
      <c r="S134" s="8">
        <f t="shared" si="20"/>
        <v>6.9679168389425519E-2</v>
      </c>
      <c r="T134" s="8">
        <f>$M134*T$2*$AG$2/100</f>
        <v>0.1509998745732804</v>
      </c>
      <c r="U134" s="8">
        <f>$M134*U$2*$AG$2/100</f>
        <v>0.19683965746195237</v>
      </c>
      <c r="V134" s="8">
        <f>$M134*V$2*$AG$2/100</f>
        <v>0.24055236606674227</v>
      </c>
      <c r="W134" s="8">
        <f>$M134*W$2*$AG$2/100</f>
        <v>0.29397247265324539</v>
      </c>
      <c r="X134" s="8">
        <f>$M134*X$2*$AG$2/100</f>
        <v>0.35925572502531722</v>
      </c>
      <c r="Y134" s="8">
        <f>$M134*Y$2*$AG$2/100</f>
        <v>0.46831677215010148</v>
      </c>
      <c r="Z134" s="8">
        <f>$M134*Z$2*$AG$2/100</f>
        <v>0.57233235654302583</v>
      </c>
      <c r="AA134" s="8">
        <f>$N134*AA$2*$AG$2/100</f>
        <v>0.84307405357083054</v>
      </c>
      <c r="AB134" s="8">
        <f>$N134*AB$2*$AG$2/100</f>
        <v>1.1024403476619431</v>
      </c>
      <c r="AC134" s="8">
        <f>$N134*AC$2*$AG$2/100</f>
        <v>1.1818161395536402</v>
      </c>
      <c r="AD134" s="8">
        <f t="shared" si="21"/>
        <v>3.9929957440000567</v>
      </c>
      <c r="AE134" s="8"/>
      <c r="AF134" s="8"/>
      <c r="AG134" s="7"/>
    </row>
    <row r="135" spans="1:33" x14ac:dyDescent="0.25">
      <c r="A135" s="7">
        <v>90.972222222222214</v>
      </c>
      <c r="B135" s="7">
        <v>98.583078321717679</v>
      </c>
      <c r="C135" s="7">
        <v>98.061666674831699</v>
      </c>
      <c r="D135" s="7">
        <v>97.799188712110436</v>
      </c>
      <c r="E135" s="7">
        <v>97.33159930335286</v>
      </c>
      <c r="F135" s="7">
        <v>94.700000000000088</v>
      </c>
      <c r="G135" s="7"/>
      <c r="H135" s="7"/>
      <c r="I135" s="7"/>
      <c r="J135" s="8">
        <f t="shared" si="17"/>
        <v>21.833333333333329</v>
      </c>
      <c r="K135" s="7">
        <f t="shared" si="16"/>
        <v>0.11957785011892952</v>
      </c>
      <c r="L135" s="7">
        <f t="shared" si="16"/>
        <v>0.16254163804408961</v>
      </c>
      <c r="M135" s="7">
        <f t="shared" si="16"/>
        <v>0.18469063897457261</v>
      </c>
      <c r="N135" s="7">
        <f t="shared" si="16"/>
        <v>0.22279821057915683</v>
      </c>
      <c r="O135" s="7">
        <f t="shared" si="16"/>
        <v>0.40000000000000568</v>
      </c>
      <c r="P135" s="7"/>
      <c r="Q135" s="8">
        <f t="shared" si="18"/>
        <v>21.833333333333329</v>
      </c>
      <c r="R135" s="8">
        <f t="shared" si="19"/>
        <v>2.5231241746225135E-2</v>
      </c>
      <c r="S135" s="8">
        <f t="shared" si="20"/>
        <v>6.8731160573309247E-2</v>
      </c>
      <c r="T135" s="8">
        <f>$M135*T$2*$AG$2/100</f>
        <v>0.14895329731017704</v>
      </c>
      <c r="U135" s="8">
        <f>$M135*U$2*$AG$2/100</f>
        <v>0.19417179056088962</v>
      </c>
      <c r="V135" s="8">
        <f>$M135*V$2*$AG$2/100</f>
        <v>0.23729203883554983</v>
      </c>
      <c r="W135" s="8">
        <f>$M135*W$2*$AG$2/100</f>
        <v>0.28998811584360829</v>
      </c>
      <c r="X135" s="8">
        <f>$M135*X$2*$AG$2/100</f>
        <v>0.35438655145444969</v>
      </c>
      <c r="Y135" s="8">
        <f>$M135*Y$2*$AG$2/100</f>
        <v>0.46196943934256846</v>
      </c>
      <c r="Z135" s="8">
        <f>$M135*Z$2*$AG$2/100</f>
        <v>0.56457524819343663</v>
      </c>
      <c r="AA135" s="8">
        <f>$N135*AA$2*$AG$2/100</f>
        <v>0.83231108949921118</v>
      </c>
      <c r="AB135" s="8">
        <f>$N135*AB$2*$AG$2/100</f>
        <v>1.0883662271232633</v>
      </c>
      <c r="AC135" s="8">
        <f>$N135*AC$2*$AG$2/100</f>
        <v>1.1667286812272912</v>
      </c>
      <c r="AD135" s="8">
        <f t="shared" si="21"/>
        <v>3.9929957440000567</v>
      </c>
      <c r="AE135" s="8"/>
      <c r="AF135" s="8"/>
      <c r="AG135" s="7"/>
    </row>
    <row r="136" spans="1:33" x14ac:dyDescent="0.25">
      <c r="A136" s="7">
        <v>91.666666666666657</v>
      </c>
      <c r="B136" s="7">
        <v>98.700937156679231</v>
      </c>
      <c r="C136" s="7">
        <v>98.222033800960418</v>
      </c>
      <c r="D136" s="7">
        <v>97.981418802135082</v>
      </c>
      <c r="E136" s="7">
        <v>97.551601983758644</v>
      </c>
      <c r="F136" s="7">
        <v>95.100000000000094</v>
      </c>
      <c r="G136" s="7"/>
      <c r="H136" s="7"/>
      <c r="I136" s="7"/>
      <c r="J136" s="8">
        <f t="shared" si="17"/>
        <v>22</v>
      </c>
      <c r="K136" s="7">
        <f t="shared" si="16"/>
        <v>0.11785883496155236</v>
      </c>
      <c r="L136" s="7">
        <f t="shared" si="16"/>
        <v>0.16036712612871895</v>
      </c>
      <c r="M136" s="7">
        <f t="shared" si="16"/>
        <v>0.18223009002464607</v>
      </c>
      <c r="N136" s="7">
        <f t="shared" si="16"/>
        <v>0.22000268040578419</v>
      </c>
      <c r="O136" s="7">
        <f t="shared" si="16"/>
        <v>0.40000000000000568</v>
      </c>
      <c r="P136" s="7"/>
      <c r="Q136" s="8">
        <f t="shared" si="18"/>
        <v>22</v>
      </c>
      <c r="R136" s="8">
        <f t="shared" si="19"/>
        <v>2.4868525014338162E-2</v>
      </c>
      <c r="S136" s="8">
        <f t="shared" si="20"/>
        <v>6.7811662471638987E-2</v>
      </c>
      <c r="T136" s="8">
        <f>$M136*T$2*$AG$2/100</f>
        <v>0.14696886062557005</v>
      </c>
      <c r="U136" s="8">
        <f>$M136*U$2*$AG$2/100</f>
        <v>0.19158492856277978</v>
      </c>
      <c r="V136" s="8">
        <f>$M136*V$2*$AG$2/100</f>
        <v>0.23413070548251982</v>
      </c>
      <c r="W136" s="8">
        <f>$M136*W$2*$AG$2/100</f>
        <v>0.2861247367471268</v>
      </c>
      <c r="X136" s="8">
        <f>$M136*X$2*$AG$2/100</f>
        <v>0.34966522144069961</v>
      </c>
      <c r="Y136" s="8">
        <f>$M136*Y$2*$AG$2/100</f>
        <v>0.45581483169605419</v>
      </c>
      <c r="Z136" s="8">
        <f>$M136*Z$2*$AG$2/100</f>
        <v>0.55705367026285113</v>
      </c>
      <c r="AA136" s="8">
        <f>$N136*AA$2*$AG$2/100</f>
        <v>0.82186777957190349</v>
      </c>
      <c r="AB136" s="8">
        <f>$N136*AB$2*$AG$2/100</f>
        <v>1.0747101002643724</v>
      </c>
      <c r="AC136" s="8">
        <f>$N136*AC$2*$AG$2/100</f>
        <v>1.1520893121586098</v>
      </c>
      <c r="AD136" s="8">
        <f t="shared" si="21"/>
        <v>3.9929957440000567</v>
      </c>
      <c r="AE136" s="8"/>
      <c r="AF136" s="8"/>
      <c r="AG136" s="7"/>
    </row>
    <row r="137" spans="1:33" x14ac:dyDescent="0.25">
      <c r="A137" s="7">
        <v>92.361111111111114</v>
      </c>
      <c r="B137" s="7">
        <v>98.817129647560805</v>
      </c>
      <c r="C137" s="7">
        <v>98.380290732026339</v>
      </c>
      <c r="D137" s="7">
        <v>98.161261806310151</v>
      </c>
      <c r="E137" s="7">
        <v>97.768890762431766</v>
      </c>
      <c r="F137" s="7">
        <v>95.500000000000099</v>
      </c>
      <c r="G137" s="7"/>
      <c r="H137" s="7"/>
      <c r="I137" s="7"/>
      <c r="J137" s="8">
        <f t="shared" si="17"/>
        <v>22.166666666666671</v>
      </c>
      <c r="K137" s="7">
        <f t="shared" si="16"/>
        <v>0.11619249088157346</v>
      </c>
      <c r="L137" s="7">
        <f t="shared" si="16"/>
        <v>0.15825693106592098</v>
      </c>
      <c r="M137" s="7">
        <f t="shared" si="16"/>
        <v>0.17984300417506915</v>
      </c>
      <c r="N137" s="7">
        <f t="shared" si="16"/>
        <v>0.21728877867312235</v>
      </c>
      <c r="O137" s="7">
        <f t="shared" si="16"/>
        <v>0.40000000000000568</v>
      </c>
      <c r="P137" s="7"/>
      <c r="Q137" s="8">
        <f t="shared" si="18"/>
        <v>22.166666666666671</v>
      </c>
      <c r="R137" s="8">
        <f t="shared" si="19"/>
        <v>2.4516922018695386E-2</v>
      </c>
      <c r="S137" s="8">
        <f t="shared" si="20"/>
        <v>6.6919360920802945E-2</v>
      </c>
      <c r="T137" s="8">
        <f>$M137*T$2*$AG$2/100</f>
        <v>0.14504367204952151</v>
      </c>
      <c r="U137" s="8">
        <f>$M137*U$2*$AG$2/100</f>
        <v>0.18907530091620084</v>
      </c>
      <c r="V137" s="8">
        <f>$M137*V$2*$AG$2/100</f>
        <v>0.23106375811980279</v>
      </c>
      <c r="W137" s="8">
        <f t="shared" ref="W137:Z148" si="22">$M137*W$2*$AG$2/100</f>
        <v>0.2823767041899865</v>
      </c>
      <c r="X137" s="8">
        <f t="shared" si="22"/>
        <v>0.34508485328043925</v>
      </c>
      <c r="Y137" s="8">
        <f t="shared" si="22"/>
        <v>0.44984397839393614</v>
      </c>
      <c r="Z137" s="8">
        <f t="shared" si="22"/>
        <v>0.54975665946974073</v>
      </c>
      <c r="AA137" s="8">
        <f>$N137*AA$2*$AG$2/100</f>
        <v>0.8117294104080135</v>
      </c>
      <c r="AB137" s="8">
        <f>$N137*AB$2*$AG$2/100</f>
        <v>1.0614527272276575</v>
      </c>
      <c r="AC137" s="8">
        <f>$N137*AC$2*$AG$2/100</f>
        <v>1.1378774072187177</v>
      </c>
      <c r="AD137" s="8">
        <f t="shared" si="21"/>
        <v>3.9929957440000567</v>
      </c>
      <c r="AE137" s="8"/>
      <c r="AF137" s="8"/>
      <c r="AG137" s="7"/>
    </row>
    <row r="138" spans="1:33" x14ac:dyDescent="0.25">
      <c r="A138" s="7">
        <v>93.055555555555557</v>
      </c>
      <c r="B138" s="7">
        <v>98.931706023878135</v>
      </c>
      <c r="C138" s="7">
        <v>98.536498880040028</v>
      </c>
      <c r="D138" s="7">
        <v>98.338787824187406</v>
      </c>
      <c r="E138" s="7">
        <v>97.983543572305777</v>
      </c>
      <c r="F138" s="7">
        <v>95.900000000000105</v>
      </c>
      <c r="G138" s="7"/>
      <c r="H138" s="7"/>
      <c r="I138" s="7"/>
      <c r="J138" s="8">
        <f t="shared" si="17"/>
        <v>22.333333333333336</v>
      </c>
      <c r="K138" s="7">
        <f t="shared" si="16"/>
        <v>0.11457637631733064</v>
      </c>
      <c r="L138" s="7">
        <f t="shared" si="16"/>
        <v>0.15620814801368965</v>
      </c>
      <c r="M138" s="7">
        <f t="shared" si="16"/>
        <v>0.17752601787725553</v>
      </c>
      <c r="N138" s="7">
        <f t="shared" si="16"/>
        <v>0.21465280987401059</v>
      </c>
      <c r="O138" s="7">
        <f t="shared" si="16"/>
        <v>0.40000000000000568</v>
      </c>
      <c r="P138" s="7"/>
      <c r="Q138" s="8">
        <f t="shared" si="18"/>
        <v>22.333333333333336</v>
      </c>
      <c r="R138" s="8">
        <f t="shared" si="19"/>
        <v>2.4175917583346775E-2</v>
      </c>
      <c r="S138" s="8">
        <f t="shared" si="20"/>
        <v>6.605302760069337E-2</v>
      </c>
      <c r="T138" s="8">
        <f t="shared" ref="T138:V148" si="23">$M138*T$2*$AG$2/100</f>
        <v>0.14317501887468814</v>
      </c>
      <c r="U138" s="8">
        <f t="shared" si="23"/>
        <v>0.18663937140375023</v>
      </c>
      <c r="V138" s="8">
        <f t="shared" si="23"/>
        <v>0.22808687523275009</v>
      </c>
      <c r="W138" s="8">
        <f t="shared" si="22"/>
        <v>0.2787387369672355</v>
      </c>
      <c r="X138" s="8">
        <f t="shared" si="22"/>
        <v>0.340638992957424</v>
      </c>
      <c r="Y138" s="8">
        <f t="shared" si="22"/>
        <v>0.44404846614216065</v>
      </c>
      <c r="Z138" s="8">
        <f t="shared" si="22"/>
        <v>0.54267393388380014</v>
      </c>
      <c r="AA138" s="8">
        <f>$N138*AA$2*$AG$2/100</f>
        <v>0.80188217663817507</v>
      </c>
      <c r="AB138" s="8">
        <f>$N138*AB$2*$AG$2/100</f>
        <v>1.0485760555109218</v>
      </c>
      <c r="AC138" s="8">
        <f>$N138*AC$2*$AG$2/100</f>
        <v>1.1240736141238385</v>
      </c>
      <c r="AD138" s="8">
        <f t="shared" si="21"/>
        <v>3.9929957440000567</v>
      </c>
      <c r="AE138" s="8"/>
      <c r="AF138" s="8"/>
      <c r="AG138" s="7"/>
    </row>
    <row r="139" spans="1:33" x14ac:dyDescent="0.25">
      <c r="A139" s="7">
        <v>93.75</v>
      </c>
      <c r="B139" s="7">
        <v>99.044714225730132</v>
      </c>
      <c r="C139" s="7">
        <v>98.69071691847104</v>
      </c>
      <c r="D139" s="7">
        <v>98.514063797453801</v>
      </c>
      <c r="E139" s="7">
        <v>98.195634875858545</v>
      </c>
      <c r="F139" s="7">
        <v>96.300000000000111</v>
      </c>
      <c r="G139" s="7"/>
      <c r="H139" s="7"/>
      <c r="I139" s="7"/>
      <c r="J139" s="8">
        <f t="shared" si="17"/>
        <v>22.5</v>
      </c>
      <c r="K139" s="7">
        <f t="shared" si="16"/>
        <v>0.11300820185199711</v>
      </c>
      <c r="L139" s="7">
        <f t="shared" si="16"/>
        <v>0.15421803843101145</v>
      </c>
      <c r="M139" s="7">
        <f t="shared" si="16"/>
        <v>0.17527597326639466</v>
      </c>
      <c r="N139" s="7">
        <f t="shared" si="16"/>
        <v>0.21209130355276784</v>
      </c>
      <c r="O139" s="7">
        <f t="shared" si="16"/>
        <v>0.40000000000000568</v>
      </c>
      <c r="P139" s="7"/>
      <c r="Q139" s="8">
        <f t="shared" si="18"/>
        <v>22.5</v>
      </c>
      <c r="R139" s="8">
        <f t="shared" si="19"/>
        <v>2.3845028635303848E-2</v>
      </c>
      <c r="S139" s="8">
        <f t="shared" si="20"/>
        <v>6.5211504512016016E-2</v>
      </c>
      <c r="T139" s="8">
        <f t="shared" si="23"/>
        <v>0.14136035427802246</v>
      </c>
      <c r="U139" s="8">
        <f t="shared" si="23"/>
        <v>0.18427382005064197</v>
      </c>
      <c r="V139" s="8">
        <f t="shared" si="23"/>
        <v>0.22519599957090553</v>
      </c>
      <c r="W139" s="8">
        <f t="shared" si="22"/>
        <v>0.27520587682396946</v>
      </c>
      <c r="X139" s="8">
        <f t="shared" si="22"/>
        <v>0.33632158112383648</v>
      </c>
      <c r="Y139" s="8">
        <f t="shared" si="22"/>
        <v>0.4384203961265587</v>
      </c>
      <c r="Z139" s="8">
        <f t="shared" si="22"/>
        <v>0.53579584032325978</v>
      </c>
      <c r="AA139" s="8">
        <f>$N139*AA$2*$AG$2/100</f>
        <v>0.79231311362168722</v>
      </c>
      <c r="AB139" s="8">
        <f>$N139*AB$2*$AG$2/100</f>
        <v>1.0360631319853855</v>
      </c>
      <c r="AC139" s="8">
        <f>$N139*AC$2*$AG$2/100</f>
        <v>1.1106597591185845</v>
      </c>
      <c r="AD139" s="8">
        <f t="shared" si="21"/>
        <v>3.9929957440000567</v>
      </c>
      <c r="AE139" s="8"/>
      <c r="AF139" s="8"/>
      <c r="AG139" s="7"/>
    </row>
    <row r="140" spans="1:33" x14ac:dyDescent="0.25">
      <c r="A140" s="7">
        <v>94.444444444444443</v>
      </c>
      <c r="B140" s="7">
        <v>99.156200037831184</v>
      </c>
      <c r="C140" s="7">
        <v>98.843000948548536</v>
      </c>
      <c r="D140" s="7">
        <v>98.687153699985259</v>
      </c>
      <c r="E140" s="7">
        <v>98.405235872667049</v>
      </c>
      <c r="F140" s="7">
        <v>96.700000000000117</v>
      </c>
      <c r="G140" s="7"/>
      <c r="H140" s="7"/>
      <c r="I140" s="7"/>
      <c r="J140" s="8">
        <f t="shared" si="17"/>
        <v>22.666666666666664</v>
      </c>
      <c r="K140" s="7">
        <f t="shared" si="16"/>
        <v>0.11148581210105135</v>
      </c>
      <c r="L140" s="7">
        <f t="shared" si="16"/>
        <v>0.15228403007749591</v>
      </c>
      <c r="M140" s="7">
        <f t="shared" si="16"/>
        <v>0.17308990253145851</v>
      </c>
      <c r="N140" s="7">
        <f t="shared" si="16"/>
        <v>0.20960099680850419</v>
      </c>
      <c r="O140" s="7">
        <f t="shared" si="16"/>
        <v>0.40000000000000568</v>
      </c>
      <c r="P140" s="7"/>
      <c r="Q140" s="8">
        <f t="shared" si="18"/>
        <v>22.666666666666664</v>
      </c>
      <c r="R140" s="8">
        <f t="shared" si="19"/>
        <v>2.3523800382748008E-2</v>
      </c>
      <c r="S140" s="8">
        <f t="shared" si="20"/>
        <v>6.4393703976134017E-2</v>
      </c>
      <c r="T140" s="8">
        <f t="shared" si="23"/>
        <v>0.1395972847151582</v>
      </c>
      <c r="U140" s="8">
        <f t="shared" si="23"/>
        <v>0.18197552669234265</v>
      </c>
      <c r="V140" s="8">
        <f t="shared" si="23"/>
        <v>0.22238731806646206</v>
      </c>
      <c r="W140" s="8">
        <f t="shared" si="22"/>
        <v>0.27177346391422658</v>
      </c>
      <c r="X140" s="8">
        <f t="shared" si="22"/>
        <v>0.33212692310927316</v>
      </c>
      <c r="Y140" s="8">
        <f t="shared" si="22"/>
        <v>0.43295234491731094</v>
      </c>
      <c r="Z140" s="8">
        <f t="shared" si="22"/>
        <v>0.52911330657603017</v>
      </c>
      <c r="AA140" s="8">
        <f>$N140*AA$2*$AG$2/100</f>
        <v>0.78301003208383579</v>
      </c>
      <c r="AB140" s="8">
        <f>$N140*AB$2*$AG$2/100</f>
        <v>1.0238980174245982</v>
      </c>
      <c r="AC140" s="8">
        <f>$N140*AC$2*$AG$2/100</f>
        <v>1.0976187553509447</v>
      </c>
      <c r="AD140" s="8">
        <f t="shared" si="21"/>
        <v>3.9929957440000567</v>
      </c>
      <c r="AE140" s="8"/>
      <c r="AF140" s="8"/>
      <c r="AG140" s="7"/>
    </row>
    <row r="141" spans="1:33" x14ac:dyDescent="0.25">
      <c r="A141" s="7">
        <v>95.138888888888886</v>
      </c>
      <c r="B141" s="7">
        <v>99.266207219920915</v>
      </c>
      <c r="C141" s="7">
        <v>98.993404652908978</v>
      </c>
      <c r="D141" s="7">
        <v>98.858118713683524</v>
      </c>
      <c r="E141" s="7">
        <v>98.612414691524407</v>
      </c>
      <c r="F141" s="7">
        <v>97.100000000000122</v>
      </c>
      <c r="G141" s="7"/>
      <c r="H141" s="7"/>
      <c r="I141" s="7"/>
      <c r="J141" s="8">
        <f t="shared" si="17"/>
        <v>22.833333333333329</v>
      </c>
      <c r="K141" s="7">
        <f t="shared" si="16"/>
        <v>0.11000718208973126</v>
      </c>
      <c r="L141" s="7">
        <f t="shared" si="16"/>
        <v>0.1504037043604427</v>
      </c>
      <c r="M141" s="7">
        <f t="shared" si="16"/>
        <v>0.17096501369826456</v>
      </c>
      <c r="N141" s="7">
        <f t="shared" si="16"/>
        <v>0.20717881885735778</v>
      </c>
      <c r="O141" s="7">
        <f t="shared" si="16"/>
        <v>0.40000000000000568</v>
      </c>
      <c r="P141" s="7"/>
      <c r="Q141" s="8">
        <f t="shared" si="18"/>
        <v>22.833333333333329</v>
      </c>
      <c r="R141" s="8">
        <f t="shared" si="19"/>
        <v>2.3211805550663839E-2</v>
      </c>
      <c r="S141" s="8">
        <f t="shared" si="20"/>
        <v>6.3598603284741623E-2</v>
      </c>
      <c r="T141" s="8">
        <f t="shared" si="23"/>
        <v>0.13788355845442773</v>
      </c>
      <c r="U141" s="8">
        <f t="shared" si="23"/>
        <v>0.17974155602780392</v>
      </c>
      <c r="V141" s="8">
        <f t="shared" si="23"/>
        <v>0.21965724356822555</v>
      </c>
      <c r="W141" s="8">
        <f t="shared" si="22"/>
        <v>0.26843711447856367</v>
      </c>
      <c r="X141" s="8">
        <f t="shared" si="22"/>
        <v>0.32804966164111965</v>
      </c>
      <c r="Y141" s="8">
        <f t="shared" si="22"/>
        <v>0.4276373289079124</v>
      </c>
      <c r="Z141" s="8">
        <f t="shared" si="22"/>
        <v>0.52261779794037544</v>
      </c>
      <c r="AA141" s="8">
        <f>$N141*AA$2*$AG$2/100</f>
        <v>0.77396146044477687</v>
      </c>
      <c r="AB141" s="8">
        <f>$N141*AB$2*$AG$2/100</f>
        <v>1.0120657110911784</v>
      </c>
      <c r="AC141" s="8">
        <f>$N141*AC$2*$AG$2/100</f>
        <v>1.0849345220292645</v>
      </c>
      <c r="AD141" s="8">
        <f t="shared" si="21"/>
        <v>3.9929957440000567</v>
      </c>
      <c r="AE141" s="8"/>
      <c r="AF141" s="8"/>
      <c r="AG141" s="7"/>
    </row>
    <row r="142" spans="1:33" x14ac:dyDescent="0.25">
      <c r="A142" s="7">
        <v>95.833333333333343</v>
      </c>
      <c r="B142" s="7">
        <v>99.374777629929127</v>
      </c>
      <c r="C142" s="7">
        <v>99.141979431167428</v>
      </c>
      <c r="D142" s="7">
        <v>99.027017391359209</v>
      </c>
      <c r="E142" s="7">
        <v>98.817236567976536</v>
      </c>
      <c r="F142" s="7">
        <v>97.500000000000128</v>
      </c>
      <c r="G142" s="7"/>
      <c r="H142" s="7"/>
      <c r="I142" s="7"/>
      <c r="J142" s="8">
        <f t="shared" si="17"/>
        <v>23</v>
      </c>
      <c r="K142" s="7">
        <f t="shared" si="16"/>
        <v>0.10857041000821255</v>
      </c>
      <c r="L142" s="7">
        <f t="shared" si="16"/>
        <v>0.14857477825844967</v>
      </c>
      <c r="M142" s="7">
        <f t="shared" si="16"/>
        <v>0.16889867767568489</v>
      </c>
      <c r="N142" s="7">
        <f t="shared" si="16"/>
        <v>0.20482187645212946</v>
      </c>
      <c r="O142" s="7">
        <f t="shared" si="16"/>
        <v>0.40000000000000568</v>
      </c>
      <c r="P142" s="7"/>
      <c r="Q142" s="8">
        <f t="shared" si="18"/>
        <v>23</v>
      </c>
      <c r="R142" s="8">
        <f t="shared" si="19"/>
        <v>2.2908642852162649E-2</v>
      </c>
      <c r="S142" s="8">
        <f t="shared" si="20"/>
        <v>6.2825237056214359E-2</v>
      </c>
      <c r="T142" s="8">
        <f t="shared" si="23"/>
        <v>0.13621705512960891</v>
      </c>
      <c r="U142" s="8">
        <f t="shared" si="23"/>
        <v>0.17756914400068435</v>
      </c>
      <c r="V142" s="8">
        <f t="shared" si="23"/>
        <v>0.21700239819847852</v>
      </c>
      <c r="W142" s="8">
        <f t="shared" si="22"/>
        <v>0.26519270050493426</v>
      </c>
      <c r="X142" s="8">
        <f t="shared" si="22"/>
        <v>0.32408475198866604</v>
      </c>
      <c r="Y142" s="8">
        <f t="shared" si="22"/>
        <v>0.42246877191366267</v>
      </c>
      <c r="Z142" s="8">
        <f t="shared" si="22"/>
        <v>0.5163012776268604</v>
      </c>
      <c r="AA142" s="8">
        <f>$N142*AA$2*$AG$2/100</f>
        <v>0.76515659035141714</v>
      </c>
      <c r="AB142" s="8">
        <f>$N142*AB$2*$AG$2/100</f>
        <v>1.0005520795119256</v>
      </c>
      <c r="AC142" s="8">
        <f>$N142*AC$2*$AG$2/100</f>
        <v>1.0725919080691595</v>
      </c>
      <c r="AD142" s="8">
        <f t="shared" si="21"/>
        <v>3.9929957440000567</v>
      </c>
      <c r="AE142" s="8"/>
      <c r="AF142" s="8"/>
      <c r="AG142" s="7"/>
    </row>
    <row r="143" spans="1:33" x14ac:dyDescent="0.25">
      <c r="A143" s="7">
        <v>96.527777777777786</v>
      </c>
      <c r="B143" s="7">
        <v>99.481951329028092</v>
      </c>
      <c r="C143" s="7">
        <v>99.288774531873642</v>
      </c>
      <c r="D143" s="7">
        <v>99.193905807797236</v>
      </c>
      <c r="E143" s="7">
        <v>99.01976401019455</v>
      </c>
      <c r="F143" s="7">
        <v>97.900000000000134</v>
      </c>
      <c r="G143" s="7"/>
      <c r="H143" s="7"/>
      <c r="I143" s="7"/>
      <c r="J143" s="8">
        <f t="shared" si="17"/>
        <v>23.166666666666671</v>
      </c>
      <c r="K143" s="7">
        <f t="shared" si="16"/>
        <v>0.1071736990989649</v>
      </c>
      <c r="L143" s="7">
        <f t="shared" si="16"/>
        <v>0.14679510070621404</v>
      </c>
      <c r="M143" s="7">
        <f t="shared" si="16"/>
        <v>0.16688841643802732</v>
      </c>
      <c r="N143" s="7">
        <f t="shared" si="16"/>
        <v>0.20252744221801322</v>
      </c>
      <c r="O143" s="7">
        <f t="shared" si="16"/>
        <v>0.40000000000000568</v>
      </c>
      <c r="P143" s="7"/>
      <c r="Q143" s="8">
        <f t="shared" si="18"/>
        <v>23.166666666666671</v>
      </c>
      <c r="R143" s="8">
        <f t="shared" si="19"/>
        <v>2.2613933166666818E-2</v>
      </c>
      <c r="S143" s="8">
        <f t="shared" si="20"/>
        <v>6.2072695706912588E-2</v>
      </c>
      <c r="T143" s="8">
        <f t="shared" si="23"/>
        <v>0.13459577620899638</v>
      </c>
      <c r="U143" s="8">
        <f t="shared" si="23"/>
        <v>0.17545568537506956</v>
      </c>
      <c r="V143" s="8">
        <f t="shared" si="23"/>
        <v>0.2144195981696069</v>
      </c>
      <c r="W143" s="8">
        <f t="shared" si="22"/>
        <v>0.26203633117350306</v>
      </c>
      <c r="X143" s="8">
        <f t="shared" si="22"/>
        <v>0.32022743928732167</v>
      </c>
      <c r="Y143" s="8">
        <f t="shared" si="22"/>
        <v>0.41744047561208009</v>
      </c>
      <c r="Z143" s="8">
        <f t="shared" si="22"/>
        <v>0.51015617063342789</v>
      </c>
      <c r="AA143" s="8">
        <f>$N143*AA$2*$AG$2/100</f>
        <v>0.75658523310300196</v>
      </c>
      <c r="AB143" s="8">
        <f>$N143*AB$2*$AG$2/100</f>
        <v>0.98934379949802354</v>
      </c>
      <c r="AC143" s="8">
        <f>$N143*AC$2*$AG$2/100</f>
        <v>1.0605766310111684</v>
      </c>
      <c r="AD143" s="8">
        <f t="shared" si="21"/>
        <v>3.9929957440000567</v>
      </c>
      <c r="AE143" s="8"/>
      <c r="AF143" s="8"/>
      <c r="AG143" s="7"/>
    </row>
    <row r="144" spans="1:33" x14ac:dyDescent="0.25">
      <c r="A144" s="7">
        <v>97.222222222222214</v>
      </c>
      <c r="B144" s="7">
        <v>99.587766683062426</v>
      </c>
      <c r="C144" s="7">
        <v>99.433837170007195</v>
      </c>
      <c r="D144" s="7">
        <v>99.35883770002421</v>
      </c>
      <c r="E144" s="7">
        <v>99.22005695198223</v>
      </c>
      <c r="F144" s="7">
        <v>98.300000000000139</v>
      </c>
      <c r="G144" s="7"/>
      <c r="H144" s="7"/>
      <c r="I144" s="7"/>
      <c r="J144" s="8">
        <f t="shared" si="17"/>
        <v>23.333333333333329</v>
      </c>
      <c r="K144" s="7">
        <f t="shared" si="16"/>
        <v>0.10581535403433406</v>
      </c>
      <c r="L144" s="7">
        <f t="shared" si="16"/>
        <v>0.14506263813355247</v>
      </c>
      <c r="M144" s="7">
        <f t="shared" si="16"/>
        <v>0.16493189222697424</v>
      </c>
      <c r="N144" s="7">
        <f t="shared" si="16"/>
        <v>0.20029294178767998</v>
      </c>
      <c r="O144" s="7">
        <f t="shared" si="16"/>
        <v>0.40000000000000568</v>
      </c>
      <c r="P144" s="7"/>
      <c r="Q144" s="8">
        <f t="shared" si="18"/>
        <v>23.333333333333329</v>
      </c>
      <c r="R144" s="8">
        <f t="shared" si="19"/>
        <v>2.232731877557009E-2</v>
      </c>
      <c r="S144" s="8">
        <f t="shared" si="20"/>
        <v>6.134011933631791E-2</v>
      </c>
      <c r="T144" s="8">
        <f t="shared" si="23"/>
        <v>0.13301783628674796</v>
      </c>
      <c r="U144" s="8">
        <f t="shared" si="23"/>
        <v>0.17339872238308918</v>
      </c>
      <c r="V144" s="8">
        <f t="shared" si="23"/>
        <v>0.21190583991066331</v>
      </c>
      <c r="W144" s="8">
        <f t="shared" si="22"/>
        <v>0.25896433590229828</v>
      </c>
      <c r="X144" s="8">
        <f t="shared" si="22"/>
        <v>0.31647323781916986</v>
      </c>
      <c r="Y144" s="8">
        <f t="shared" si="22"/>
        <v>0.41254659253355119</v>
      </c>
      <c r="Z144" s="8">
        <f t="shared" si="22"/>
        <v>0.50417533073713061</v>
      </c>
      <c r="AA144" s="8">
        <f>$N144*AA$2*$AG$2/100</f>
        <v>0.74823777159142779</v>
      </c>
      <c r="AB144" s="8">
        <f>$N144*AB$2*$AG$2/100</f>
        <v>0.97842829530009778</v>
      </c>
      <c r="AC144" s="8">
        <f>$N144*AC$2*$AG$2/100</f>
        <v>1.0488752096509719</v>
      </c>
      <c r="AD144" s="8">
        <f t="shared" si="21"/>
        <v>3.9929957440000567</v>
      </c>
      <c r="AE144" s="8"/>
      <c r="AF144" s="8"/>
      <c r="AG144" s="7"/>
    </row>
    <row r="145" spans="1:33" x14ac:dyDescent="0.25">
      <c r="A145" s="7">
        <v>97.916666666666657</v>
      </c>
      <c r="B145" s="7">
        <v>99.692260463978897</v>
      </c>
      <c r="C145" s="7">
        <v>99.57721264085751</v>
      </c>
      <c r="D145" s="7">
        <v>99.521864597695966</v>
      </c>
      <c r="E145" s="7">
        <v>99.418172895148373</v>
      </c>
      <c r="F145" s="7">
        <v>98.700000000000145</v>
      </c>
      <c r="G145" s="7"/>
      <c r="H145" s="7"/>
      <c r="I145" s="7"/>
      <c r="J145" s="8">
        <f t="shared" si="17"/>
        <v>23.5</v>
      </c>
      <c r="K145" s="7">
        <f t="shared" si="16"/>
        <v>0.10449378091647077</v>
      </c>
      <c r="L145" s="7">
        <f t="shared" si="16"/>
        <v>0.14337547085031588</v>
      </c>
      <c r="M145" s="7">
        <f t="shared" si="16"/>
        <v>0.16302689767175593</v>
      </c>
      <c r="N145" s="7">
        <f t="shared" si="16"/>
        <v>0.19811594316614389</v>
      </c>
      <c r="O145" s="7">
        <f t="shared" si="16"/>
        <v>0.40000000000000568</v>
      </c>
      <c r="P145" s="7"/>
      <c r="Q145" s="8">
        <f t="shared" si="18"/>
        <v>23.5</v>
      </c>
      <c r="R145" s="8">
        <f t="shared" si="19"/>
        <v>2.2048463362222579E-2</v>
      </c>
      <c r="S145" s="8">
        <f t="shared" si="20"/>
        <v>6.0626696198385017E-2</v>
      </c>
      <c r="T145" s="8">
        <f t="shared" si="23"/>
        <v>0.13148145511478845</v>
      </c>
      <c r="U145" s="8">
        <f t="shared" si="23"/>
        <v>0.17139593433790615</v>
      </c>
      <c r="V145" s="8">
        <f t="shared" si="23"/>
        <v>0.20945828737368491</v>
      </c>
      <c r="W145" s="8">
        <f t="shared" si="22"/>
        <v>0.25597324883460915</v>
      </c>
      <c r="X145" s="8">
        <f t="shared" si="22"/>
        <v>0.31281791205544091</v>
      </c>
      <c r="Y145" s="8">
        <f t="shared" si="22"/>
        <v>0.40778160134877317</v>
      </c>
      <c r="Z145" s="8">
        <f t="shared" si="22"/>
        <v>0.49835201029278686</v>
      </c>
      <c r="AA145" s="8">
        <f>$N145*AA$2*$AG$2/100</f>
        <v>0.74010512057139077</v>
      </c>
      <c r="AB145" s="8">
        <f>$N145*AB$2*$AG$2/100</f>
        <v>0.96779368665573462</v>
      </c>
      <c r="AC145" s="8">
        <f>$N145*AC$2*$AG$2/100</f>
        <v>1.0374749083463255</v>
      </c>
      <c r="AD145" s="8">
        <f t="shared" si="21"/>
        <v>3.9929957440000567</v>
      </c>
      <c r="AE145" s="8"/>
      <c r="AF145" s="8"/>
      <c r="AG145" s="7"/>
    </row>
    <row r="146" spans="1:33" x14ac:dyDescent="0.25">
      <c r="A146" s="7">
        <v>98.611111111111114</v>
      </c>
      <c r="B146" s="7">
        <v>99.795467929521422</v>
      </c>
      <c r="C146" s="7">
        <v>99.71894442667319</v>
      </c>
      <c r="D146" s="7">
        <v>99.683035944434394</v>
      </c>
      <c r="E146" s="7">
        <v>99.614167042444919</v>
      </c>
      <c r="F146" s="7">
        <v>99.100000000000151</v>
      </c>
      <c r="G146" s="7"/>
      <c r="H146" s="7"/>
      <c r="I146" s="7"/>
      <c r="J146" s="8">
        <f t="shared" si="17"/>
        <v>23.666666666666671</v>
      </c>
      <c r="K146" s="7">
        <f t="shared" si="16"/>
        <v>0.1032074655425248</v>
      </c>
      <c r="L146" s="7">
        <f t="shared" si="16"/>
        <v>0.14173178581567925</v>
      </c>
      <c r="M146" s="7">
        <f t="shared" si="16"/>
        <v>0.1611713467384277</v>
      </c>
      <c r="N146" s="7">
        <f t="shared" si="16"/>
        <v>0.19599414729654541</v>
      </c>
      <c r="O146" s="7">
        <f t="shared" si="16"/>
        <v>0.40000000000000568</v>
      </c>
      <c r="P146" s="7"/>
      <c r="Q146" s="8">
        <f t="shared" si="18"/>
        <v>23.666666666666671</v>
      </c>
      <c r="R146" s="8">
        <f t="shared" si="19"/>
        <v>2.1777047425829362E-2</v>
      </c>
      <c r="S146" s="8">
        <f t="shared" si="20"/>
        <v>5.9931659644016637E-2</v>
      </c>
      <c r="T146" s="8">
        <f t="shared" si="23"/>
        <v>0.12998495030338725</v>
      </c>
      <c r="U146" s="8">
        <f t="shared" si="23"/>
        <v>0.16944512811837231</v>
      </c>
      <c r="V146" s="8">
        <f t="shared" si="23"/>
        <v>0.20707426040525106</v>
      </c>
      <c r="W146" s="8">
        <f t="shared" si="22"/>
        <v>0.25305979462818462</v>
      </c>
      <c r="X146" s="8">
        <f t="shared" si="22"/>
        <v>0.30925745928987974</v>
      </c>
      <c r="Y146" s="8">
        <f t="shared" si="22"/>
        <v>0.40314028423004672</v>
      </c>
      <c r="Z146" s="8">
        <f t="shared" si="22"/>
        <v>0.49267983256609887</v>
      </c>
      <c r="AA146" s="8">
        <f>$N146*AA$2*$AG$2/100</f>
        <v>0.7321786914168219</v>
      </c>
      <c r="AB146" s="8">
        <f>$N146*AB$2*$AG$2/100</f>
        <v>0.95742874270345724</v>
      </c>
      <c r="AC146" s="8">
        <f>$N146*AC$2*$AG$2/100</f>
        <v>1.0263636876128421</v>
      </c>
      <c r="AD146" s="8">
        <f t="shared" si="21"/>
        <v>3.9929957440000567</v>
      </c>
      <c r="AE146" s="8"/>
      <c r="AF146" s="8"/>
      <c r="AG146" s="7"/>
    </row>
    <row r="147" spans="1:33" x14ac:dyDescent="0.25">
      <c r="A147" s="7">
        <v>99.305555555555557</v>
      </c>
      <c r="B147" s="7">
        <v>99.897422917415824</v>
      </c>
      <c r="C147" s="7">
        <v>99.859074290658285</v>
      </c>
      <c r="D147" s="7">
        <v>99.84239921086025</v>
      </c>
      <c r="E147" s="7">
        <v>99.8080924215853</v>
      </c>
      <c r="F147" s="7">
        <v>99.500000000000156</v>
      </c>
      <c r="G147" s="7"/>
      <c r="H147" s="7"/>
      <c r="I147" s="7"/>
      <c r="J147" s="8">
        <f t="shared" si="17"/>
        <v>23.833333333333336</v>
      </c>
      <c r="K147" s="7">
        <f t="shared" si="16"/>
        <v>0.10195498789440194</v>
      </c>
      <c r="L147" s="7">
        <f t="shared" si="16"/>
        <v>0.14012986398509497</v>
      </c>
      <c r="M147" s="7">
        <f t="shared" si="16"/>
        <v>0.15936326642585641</v>
      </c>
      <c r="N147" s="7">
        <f t="shared" si="16"/>
        <v>0.19392537914038144</v>
      </c>
      <c r="O147" s="7">
        <f t="shared" si="16"/>
        <v>0.40000000000000568</v>
      </c>
      <c r="P147" s="7"/>
      <c r="Q147" s="8">
        <f t="shared" si="18"/>
        <v>23.833333333333336</v>
      </c>
      <c r="R147" s="8">
        <f t="shared" si="19"/>
        <v>2.1512771338827456E-2</v>
      </c>
      <c r="S147" s="8">
        <f t="shared" si="20"/>
        <v>5.9254282770689504E-2</v>
      </c>
      <c r="T147" s="8">
        <f t="shared" si="23"/>
        <v>0.12852673062395786</v>
      </c>
      <c r="U147" s="8">
        <f t="shared" si="23"/>
        <v>0.16754422943872568</v>
      </c>
      <c r="V147" s="8">
        <f t="shared" si="23"/>
        <v>0.20475122407741891</v>
      </c>
      <c r="W147" s="8">
        <f t="shared" si="22"/>
        <v>0.25022087541686139</v>
      </c>
      <c r="X147" s="8">
        <f t="shared" si="22"/>
        <v>0.305788093704908</v>
      </c>
      <c r="Y147" s="8">
        <f t="shared" si="22"/>
        <v>0.3986177060803231</v>
      </c>
      <c r="Z147" s="8">
        <f t="shared" si="22"/>
        <v>0.48715276634936366</v>
      </c>
      <c r="AA147" s="8">
        <f>$N147*AA$2*$AG$2/100</f>
        <v>0.72445035879914887</v>
      </c>
      <c r="AB147" s="8">
        <f>$N147*AB$2*$AG$2/100</f>
        <v>0.9473228384097736</v>
      </c>
      <c r="AC147" s="8">
        <f>$N147*AC$2*$AG$2/100</f>
        <v>1.0155301574137803</v>
      </c>
      <c r="AD147" s="8">
        <f t="shared" si="21"/>
        <v>3.9929957440000567</v>
      </c>
      <c r="AE147" s="8"/>
      <c r="AF147" s="8"/>
      <c r="AG147" s="7"/>
    </row>
    <row r="148" spans="1:33" x14ac:dyDescent="0.25">
      <c r="A148" s="7">
        <v>100</v>
      </c>
      <c r="B148" s="7">
        <v>100</v>
      </c>
      <c r="C148" s="7">
        <v>100</v>
      </c>
      <c r="D148" s="7">
        <v>100</v>
      </c>
      <c r="E148" s="7">
        <v>100</v>
      </c>
      <c r="F148" s="7">
        <v>100</v>
      </c>
      <c r="G148" s="7"/>
      <c r="H148" s="7"/>
      <c r="I148" s="7"/>
      <c r="J148" s="8">
        <f t="shared" si="17"/>
        <v>24</v>
      </c>
      <c r="K148" s="7">
        <f t="shared" si="16"/>
        <v>0.10257708258417608</v>
      </c>
      <c r="L148" s="7">
        <f t="shared" si="16"/>
        <v>0.14092570934171533</v>
      </c>
      <c r="M148" s="7">
        <f t="shared" si="16"/>
        <v>0.15760078913974951</v>
      </c>
      <c r="N148" s="7">
        <f t="shared" si="16"/>
        <v>0.19190757841469974</v>
      </c>
      <c r="O148" s="7">
        <f t="shared" si="16"/>
        <v>0.49999999999984368</v>
      </c>
      <c r="P148" s="7"/>
      <c r="Q148" s="8">
        <f t="shared" si="18"/>
        <v>24</v>
      </c>
      <c r="R148" s="8">
        <f t="shared" si="19"/>
        <v>2.1644034959064175E-2</v>
      </c>
      <c r="S148" s="8">
        <f t="shared" si="20"/>
        <v>5.9590808079869405E-2</v>
      </c>
      <c r="T148" s="8">
        <f t="shared" si="23"/>
        <v>0.12710528985870032</v>
      </c>
      <c r="U148" s="8">
        <f t="shared" si="23"/>
        <v>0.16569127483113785</v>
      </c>
      <c r="V148" s="8">
        <f t="shared" si="23"/>
        <v>0.20248677888981398</v>
      </c>
      <c r="W148" s="8">
        <f t="shared" si="22"/>
        <v>0.24745355883680634</v>
      </c>
      <c r="X148" s="8">
        <f t="shared" si="22"/>
        <v>0.30240623173882197</v>
      </c>
      <c r="Y148" s="8">
        <f t="shared" si="22"/>
        <v>0.39420919545825028</v>
      </c>
      <c r="Z148" s="8">
        <f t="shared" si="22"/>
        <v>0.48176510264987271</v>
      </c>
      <c r="AA148" s="8">
        <f>$N148*AA$2*$AG$2/100</f>
        <v>0.71691242608407535</v>
      </c>
      <c r="AB148" s="8">
        <f>$N148*AB$2*$AG$2/100</f>
        <v>0.93746590932049567</v>
      </c>
      <c r="AC148" s="8">
        <f>$N148*AC$2*$AG$2/100</f>
        <v>1.0049635286534579</v>
      </c>
      <c r="AD148" s="8">
        <f t="shared" si="21"/>
        <v>4.9912446799984398</v>
      </c>
      <c r="AE148" s="8"/>
      <c r="AF148" s="8"/>
      <c r="AG148" s="7"/>
    </row>
    <row r="149" spans="1:33" x14ac:dyDescent="0.25">
      <c r="F149" s="1" t="s">
        <v>11</v>
      </c>
    </row>
  </sheetData>
  <mergeCells count="3">
    <mergeCell ref="Q1:AD1"/>
    <mergeCell ref="A2:F2"/>
    <mergeCell ref="AF7:AG7"/>
  </mergeCells>
  <conditionalFormatting sqref="K4:K148">
    <cfRule type="top10" dxfId="8" priority="5" rank="6"/>
  </conditionalFormatting>
  <conditionalFormatting sqref="L4:L148">
    <cfRule type="top10" dxfId="7" priority="4" rank="6"/>
  </conditionalFormatting>
  <conditionalFormatting sqref="M4:M148">
    <cfRule type="top10" dxfId="6" priority="3" rank="6"/>
  </conditionalFormatting>
  <conditionalFormatting sqref="N4:N148">
    <cfRule type="top10" dxfId="5" priority="2" rank="6"/>
  </conditionalFormatting>
  <conditionalFormatting sqref="O4:P148 AG4:AG6 AG20:AG148">
    <cfRule type="top10" dxfId="4" priority="1" rank="6"/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AED05-D1F8-4791-A5E6-FB17199032E7}">
  <sheetPr codeName="Sheet3"/>
  <dimension ref="A1:AA146"/>
  <sheetViews>
    <sheetView zoomScale="55" zoomScaleNormal="55" workbookViewId="0">
      <selection activeCell="D69" sqref="D69"/>
    </sheetView>
  </sheetViews>
  <sheetFormatPr defaultRowHeight="15" x14ac:dyDescent="0.25"/>
  <cols>
    <col min="1" max="1" width="9.140625" style="1"/>
    <col min="2" max="2" width="11.5703125" style="1" bestFit="1" customWidth="1"/>
    <col min="3" max="3" width="9.140625" style="1"/>
    <col min="4" max="4" width="11.5703125" style="1" bestFit="1" customWidth="1"/>
    <col min="5" max="5" width="9.5703125" style="1" bestFit="1" customWidth="1"/>
    <col min="6" max="6" width="11.7109375" style="1" bestFit="1" customWidth="1"/>
    <col min="7" max="18" width="9.140625" style="1"/>
    <col min="19" max="20" width="20.28515625" style="1" customWidth="1"/>
    <col min="21" max="22" width="11" style="1" customWidth="1"/>
    <col min="23" max="23" width="17.140625" style="1" bestFit="1" customWidth="1"/>
    <col min="24" max="24" width="13.5703125" style="1" bestFit="1" customWidth="1"/>
    <col min="25" max="16384" width="9.140625" style="1"/>
  </cols>
  <sheetData>
    <row r="1" spans="1:24" x14ac:dyDescent="0.25">
      <c r="A1" s="1" t="s">
        <v>14</v>
      </c>
      <c r="B1" s="1" t="s">
        <v>15</v>
      </c>
      <c r="C1" s="1" t="s">
        <v>19</v>
      </c>
      <c r="E1" s="28">
        <v>14.544434200056767</v>
      </c>
      <c r="F1" s="1" t="s">
        <v>23</v>
      </c>
      <c r="G1" s="1">
        <f>E2*1300</f>
        <v>195</v>
      </c>
      <c r="J1" s="1" t="str">
        <f>A1</f>
        <v>time</v>
      </c>
      <c r="K1" s="1" t="s">
        <v>17</v>
      </c>
      <c r="L1" s="1" t="s">
        <v>18</v>
      </c>
      <c r="M1" s="1" t="s">
        <v>16</v>
      </c>
      <c r="N1" s="19" t="s">
        <v>28</v>
      </c>
      <c r="O1" s="19" t="str">
        <f>N1</f>
        <v>R1_20000</v>
      </c>
      <c r="P1" s="19" t="s">
        <v>29</v>
      </c>
    </row>
    <row r="2" spans="1:24" x14ac:dyDescent="0.25">
      <c r="A2" s="7">
        <v>0</v>
      </c>
      <c r="B2" s="23">
        <v>0</v>
      </c>
      <c r="C2" s="24">
        <v>0</v>
      </c>
      <c r="D2" s="23"/>
      <c r="E2" s="20">
        <v>0.15</v>
      </c>
      <c r="F2" s="25" t="s">
        <v>22</v>
      </c>
      <c r="J2" s="1">
        <f t="shared" ref="J2:J65" si="0">A2</f>
        <v>0</v>
      </c>
      <c r="K2" s="1">
        <v>0</v>
      </c>
      <c r="L2" s="1">
        <f>B2*100</f>
        <v>0</v>
      </c>
      <c r="M2" s="1">
        <v>0</v>
      </c>
      <c r="N2" s="27">
        <v>0</v>
      </c>
      <c r="O2" s="1">
        <f>N2*100</f>
        <v>0</v>
      </c>
      <c r="P2" s="26">
        <f>O2</f>
        <v>0</v>
      </c>
      <c r="R2" s="1" t="s">
        <v>25</v>
      </c>
      <c r="S2" s="1" t="s">
        <v>24</v>
      </c>
      <c r="T2" s="1" t="s">
        <v>17</v>
      </c>
      <c r="U2" s="1" t="str">
        <f>L1</f>
        <v>PMP new</v>
      </c>
      <c r="W2" s="1" t="s">
        <v>26</v>
      </c>
      <c r="X2" s="1" t="s">
        <v>27</v>
      </c>
    </row>
    <row r="3" spans="1:24" x14ac:dyDescent="0.25">
      <c r="A3" s="7">
        <v>0.16666666666666666</v>
      </c>
      <c r="B3" s="23">
        <v>7.5550726864287735E-4</v>
      </c>
      <c r="C3" s="24">
        <v>7.5550726864287737E-2</v>
      </c>
      <c r="D3" s="23"/>
      <c r="E3" s="21">
        <v>70</v>
      </c>
      <c r="F3" s="1" t="s">
        <v>21</v>
      </c>
      <c r="J3" s="1">
        <f t="shared" si="0"/>
        <v>0.16666666666666666</v>
      </c>
      <c r="K3" s="1">
        <v>0</v>
      </c>
      <c r="L3" s="1">
        <f t="shared" ref="L3:L66" si="1">B3*100</f>
        <v>7.5550726864287737E-2</v>
      </c>
      <c r="M3" s="1">
        <f>M2+L3</f>
        <v>7.5550726864287737E-2</v>
      </c>
      <c r="N3" s="27">
        <v>4.0000000000000001E-3</v>
      </c>
      <c r="O3" s="1">
        <f t="shared" ref="O3:O66" si="2">N3*100</f>
        <v>0.4</v>
      </c>
      <c r="P3" s="26">
        <f>N3*100+P2</f>
        <v>0.4</v>
      </c>
      <c r="R3" s="1">
        <v>0</v>
      </c>
      <c r="S3" s="1">
        <v>0</v>
      </c>
      <c r="T3" s="1">
        <v>0</v>
      </c>
      <c r="U3" s="1">
        <v>0</v>
      </c>
      <c r="W3" s="1">
        <v>0</v>
      </c>
      <c r="X3" s="1">
        <v>0</v>
      </c>
    </row>
    <row r="4" spans="1:24" ht="15.75" thickBot="1" x14ac:dyDescent="0.3">
      <c r="A4" s="7">
        <v>0.33333333333333331</v>
      </c>
      <c r="B4" s="23">
        <v>7.5555412818477342E-4</v>
      </c>
      <c r="C4" s="24">
        <v>7.5555412818477344E-2</v>
      </c>
      <c r="D4" s="23"/>
      <c r="E4" s="22">
        <v>1.0001500000000001</v>
      </c>
      <c r="J4" s="1">
        <f t="shared" si="0"/>
        <v>0.33333333333333331</v>
      </c>
      <c r="K4" s="1">
        <v>0</v>
      </c>
      <c r="L4" s="1">
        <f t="shared" si="1"/>
        <v>7.5555412818477344E-2</v>
      </c>
      <c r="M4" s="1">
        <f t="shared" ref="M4:M67" si="3">M3+L4</f>
        <v>0.15110613968276509</v>
      </c>
      <c r="N4" s="27">
        <v>4.0000000000000001E-3</v>
      </c>
      <c r="O4" s="1">
        <f t="shared" si="2"/>
        <v>0.4</v>
      </c>
      <c r="P4" s="26">
        <f t="shared" ref="P4:P67" si="4">N4*100+P3</f>
        <v>0.8</v>
      </c>
      <c r="R4" s="1">
        <v>1</v>
      </c>
      <c r="S4" s="1">
        <v>0.27800000000000002</v>
      </c>
      <c r="T4" s="1">
        <f t="shared" ref="T4:T27" si="5">BlockSumNonOverlapAt($J$3:$J$146,$K$3:$K$146,60,ROW(A1))</f>
        <v>0</v>
      </c>
      <c r="U4" s="1">
        <f t="shared" ref="U4:U27" si="6">BlockSumNonOverlapAt($J$3:$J$146,$L$3:$L$146,60,ROW(A1))</f>
        <v>0.45342092027136344</v>
      </c>
      <c r="W4" s="1">
        <f>S4+W3</f>
        <v>0.27800000000000002</v>
      </c>
      <c r="X4" s="1">
        <f t="shared" ref="X4:X27" si="7">U4+X3</f>
        <v>0.45342092027136344</v>
      </c>
    </row>
    <row r="5" spans="1:24" x14ac:dyDescent="0.25">
      <c r="A5" s="7">
        <v>0.5</v>
      </c>
      <c r="B5" s="23">
        <v>7.5561875122268898E-4</v>
      </c>
      <c r="C5" s="24">
        <v>7.5561875122268904E-2</v>
      </c>
      <c r="D5" s="23"/>
      <c r="E5" s="1">
        <v>0.03</v>
      </c>
      <c r="F5" s="1" t="s">
        <v>20</v>
      </c>
      <c r="J5" s="1">
        <f t="shared" si="0"/>
        <v>0.5</v>
      </c>
      <c r="K5" s="1">
        <v>0</v>
      </c>
      <c r="L5" s="1">
        <f t="shared" si="1"/>
        <v>7.5561875122268904E-2</v>
      </c>
      <c r="M5" s="1">
        <f t="shared" si="3"/>
        <v>0.22666801480503401</v>
      </c>
      <c r="N5" s="27">
        <v>4.0000000000000001E-3</v>
      </c>
      <c r="O5" s="1">
        <f t="shared" si="2"/>
        <v>0.4</v>
      </c>
      <c r="P5" s="26">
        <f t="shared" si="4"/>
        <v>1.2000000000000002</v>
      </c>
      <c r="R5" s="1">
        <v>2</v>
      </c>
      <c r="S5" s="1">
        <v>0.32600000000000007</v>
      </c>
      <c r="T5" s="1">
        <f t="shared" si="5"/>
        <v>0.1</v>
      </c>
      <c r="U5" s="1">
        <f t="shared" si="6"/>
        <v>0.45443438818057419</v>
      </c>
      <c r="W5" s="1">
        <f t="shared" ref="W5:W27" si="8">S5+W4</f>
        <v>0.60400000000000009</v>
      </c>
      <c r="X5" s="1">
        <f t="shared" si="7"/>
        <v>0.90785530845193763</v>
      </c>
    </row>
    <row r="6" spans="1:24" x14ac:dyDescent="0.25">
      <c r="A6" s="7">
        <v>0.66666666666666663</v>
      </c>
      <c r="B6" s="23">
        <v>7.5570743355586199E-4</v>
      </c>
      <c r="C6" s="24">
        <v>7.5570743355586195E-2</v>
      </c>
      <c r="D6" s="23"/>
      <c r="E6" s="24">
        <v>0.15000000000000008</v>
      </c>
      <c r="J6" s="1">
        <f t="shared" si="0"/>
        <v>0.66666666666666663</v>
      </c>
      <c r="K6" s="1">
        <v>0</v>
      </c>
      <c r="L6" s="1">
        <f t="shared" si="1"/>
        <v>7.5570743355586195E-2</v>
      </c>
      <c r="M6" s="1">
        <f t="shared" si="3"/>
        <v>0.30223875816062018</v>
      </c>
      <c r="N6" s="27">
        <v>4.0000000000000001E-3</v>
      </c>
      <c r="O6" s="1">
        <f t="shared" si="2"/>
        <v>0.4</v>
      </c>
      <c r="P6" s="26">
        <f t="shared" si="4"/>
        <v>1.6</v>
      </c>
      <c r="R6" s="1">
        <v>3</v>
      </c>
      <c r="S6" s="1">
        <v>0.46199999999998909</v>
      </c>
      <c r="T6" s="1">
        <f t="shared" si="5"/>
        <v>0.19999999999999998</v>
      </c>
      <c r="U6" s="1">
        <f t="shared" si="6"/>
        <v>0.45976060523302981</v>
      </c>
      <c r="W6" s="1">
        <f t="shared" si="8"/>
        <v>1.0659999999999892</v>
      </c>
      <c r="X6" s="1">
        <f t="shared" si="7"/>
        <v>1.3676159136849675</v>
      </c>
    </row>
    <row r="7" spans="1:24" x14ac:dyDescent="0.25">
      <c r="A7" s="7">
        <v>0.83333333333333337</v>
      </c>
      <c r="B7" s="23">
        <v>7.5582853371855595E-4</v>
      </c>
      <c r="C7" s="24">
        <v>7.5582853371855593E-2</v>
      </c>
      <c r="D7" s="23"/>
      <c r="E7" s="24">
        <v>0.97124999999999995</v>
      </c>
      <c r="J7" s="1">
        <f t="shared" si="0"/>
        <v>0.83333333333333337</v>
      </c>
      <c r="K7" s="1">
        <v>0</v>
      </c>
      <c r="L7" s="1">
        <f t="shared" si="1"/>
        <v>7.5582853371855593E-2</v>
      </c>
      <c r="M7" s="1">
        <f t="shared" si="3"/>
        <v>0.37782161153247579</v>
      </c>
      <c r="N7" s="27">
        <v>4.0000000000000001E-3</v>
      </c>
      <c r="O7" s="1">
        <f t="shared" si="2"/>
        <v>0.4</v>
      </c>
      <c r="P7" s="26">
        <f t="shared" si="4"/>
        <v>2</v>
      </c>
      <c r="R7" s="1">
        <v>4</v>
      </c>
      <c r="S7" s="1">
        <v>0.6399999999999999</v>
      </c>
      <c r="T7" s="1">
        <f t="shared" si="5"/>
        <v>0.5</v>
      </c>
      <c r="U7" s="1">
        <f t="shared" si="6"/>
        <v>0.48323547759020807</v>
      </c>
      <c r="W7" s="1">
        <f t="shared" si="8"/>
        <v>1.7059999999999891</v>
      </c>
      <c r="X7" s="1">
        <f t="shared" si="7"/>
        <v>1.8508513912751756</v>
      </c>
    </row>
    <row r="8" spans="1:24" x14ac:dyDescent="0.25">
      <c r="A8" s="7">
        <v>1</v>
      </c>
      <c r="B8" s="23">
        <v>7.5599308738887668E-4</v>
      </c>
      <c r="C8" s="24">
        <v>7.5599308738887677E-2</v>
      </c>
      <c r="D8" s="23"/>
      <c r="J8" s="1">
        <f t="shared" si="0"/>
        <v>1</v>
      </c>
      <c r="K8" s="1">
        <v>0</v>
      </c>
      <c r="L8" s="1">
        <f t="shared" si="1"/>
        <v>7.5599308738887663E-2</v>
      </c>
      <c r="M8" s="1">
        <f t="shared" si="3"/>
        <v>0.45342092027136344</v>
      </c>
      <c r="N8" s="27">
        <v>4.0000000000000001E-3</v>
      </c>
      <c r="O8" s="1">
        <f t="shared" si="2"/>
        <v>0.4</v>
      </c>
      <c r="P8" s="26">
        <f t="shared" si="4"/>
        <v>2.4</v>
      </c>
      <c r="R8" s="1">
        <v>5</v>
      </c>
      <c r="S8" s="1">
        <v>1.0170000000000099</v>
      </c>
      <c r="T8" s="1">
        <f t="shared" si="5"/>
        <v>0.59999999999999987</v>
      </c>
      <c r="U8" s="1">
        <f t="shared" si="6"/>
        <v>0.5698129931118131</v>
      </c>
      <c r="W8" s="1">
        <f t="shared" si="8"/>
        <v>2.722999999999999</v>
      </c>
      <c r="X8" s="1">
        <f t="shared" si="7"/>
        <v>2.4206643843869888</v>
      </c>
    </row>
    <row r="9" spans="1:24" x14ac:dyDescent="0.25">
      <c r="A9" s="7">
        <v>1.1666666666666667</v>
      </c>
      <c r="B9" s="23">
        <v>7.5621558373752779E-4</v>
      </c>
      <c r="C9" s="24">
        <v>7.5621558373752784E-2</v>
      </c>
      <c r="D9" s="23"/>
      <c r="J9" s="1">
        <f t="shared" si="0"/>
        <v>1.1666666666666667</v>
      </c>
      <c r="K9" s="1">
        <v>0</v>
      </c>
      <c r="L9" s="1">
        <f t="shared" si="1"/>
        <v>7.5621558373752784E-2</v>
      </c>
      <c r="M9" s="1">
        <f t="shared" si="3"/>
        <v>0.52904247864511622</v>
      </c>
      <c r="N9" s="27">
        <v>4.0000000000000001E-3</v>
      </c>
      <c r="O9" s="1">
        <f t="shared" si="2"/>
        <v>0.4</v>
      </c>
      <c r="P9" s="26">
        <f t="shared" si="4"/>
        <v>2.8</v>
      </c>
      <c r="R9" s="1">
        <v>6</v>
      </c>
      <c r="S9" s="1">
        <v>1.4559999999999995</v>
      </c>
      <c r="T9" s="1">
        <f t="shared" si="5"/>
        <v>1</v>
      </c>
      <c r="U9" s="1">
        <f t="shared" si="6"/>
        <v>0.836170187687724</v>
      </c>
      <c r="W9" s="1">
        <f t="shared" si="8"/>
        <v>4.1789999999999985</v>
      </c>
      <c r="X9" s="1">
        <f t="shared" si="7"/>
        <v>3.2568345720747129</v>
      </c>
    </row>
    <row r="10" spans="1:24" x14ac:dyDescent="0.25">
      <c r="A10" s="7">
        <v>1.3333333333333333</v>
      </c>
      <c r="B10" s="23">
        <v>7.56514939609837E-4</v>
      </c>
      <c r="C10" s="24">
        <v>7.5651493960983696E-2</v>
      </c>
      <c r="D10" s="23"/>
      <c r="J10" s="1">
        <f t="shared" si="0"/>
        <v>1.3333333333333333</v>
      </c>
      <c r="K10" s="1">
        <v>0</v>
      </c>
      <c r="L10" s="1">
        <f t="shared" si="1"/>
        <v>7.5651493960983696E-2</v>
      </c>
      <c r="M10" s="1">
        <f t="shared" si="3"/>
        <v>0.60469397260609992</v>
      </c>
      <c r="N10" s="27">
        <v>4.0000000000000001E-3</v>
      </c>
      <c r="O10" s="1">
        <f t="shared" si="2"/>
        <v>0.4</v>
      </c>
      <c r="P10" s="26">
        <f t="shared" si="4"/>
        <v>3.1999999999999997</v>
      </c>
      <c r="R10" s="1">
        <v>7</v>
      </c>
      <c r="S10" s="1">
        <v>2.6239999999999997</v>
      </c>
      <c r="T10" s="1">
        <f t="shared" si="5"/>
        <v>1.6999999999999997</v>
      </c>
      <c r="U10" s="1">
        <f t="shared" si="6"/>
        <v>1.5165860319185831</v>
      </c>
      <c r="W10" s="1">
        <f t="shared" si="8"/>
        <v>6.8029999999999982</v>
      </c>
      <c r="X10" s="1">
        <f t="shared" si="7"/>
        <v>4.773420603993296</v>
      </c>
    </row>
    <row r="11" spans="1:24" x14ac:dyDescent="0.25">
      <c r="A11" s="7">
        <v>1.5</v>
      </c>
      <c r="B11" s="23">
        <v>7.5691571332672433E-4</v>
      </c>
      <c r="C11" s="24">
        <v>7.569157133267243E-2</v>
      </c>
      <c r="D11" s="23"/>
      <c r="J11" s="1">
        <f t="shared" si="0"/>
        <v>1.5</v>
      </c>
      <c r="K11" s="1">
        <v>0</v>
      </c>
      <c r="L11" s="1">
        <f t="shared" si="1"/>
        <v>7.569157133267243E-2</v>
      </c>
      <c r="M11" s="1">
        <f t="shared" si="3"/>
        <v>0.68038554393877237</v>
      </c>
      <c r="N11" s="27">
        <v>4.0000000000000001E-3</v>
      </c>
      <c r="O11" s="1">
        <f t="shared" si="2"/>
        <v>0.4</v>
      </c>
      <c r="P11" s="26">
        <f t="shared" si="4"/>
        <v>3.5999999999999996</v>
      </c>
      <c r="R11" s="1">
        <v>8</v>
      </c>
      <c r="S11" s="1">
        <v>4.3579999999999997</v>
      </c>
      <c r="T11" s="1">
        <f t="shared" si="5"/>
        <v>2.4000000000000004</v>
      </c>
      <c r="U11" s="1">
        <f t="shared" si="6"/>
        <v>2.9494856289929929</v>
      </c>
      <c r="W11" s="1">
        <f t="shared" si="8"/>
        <v>11.160999999999998</v>
      </c>
      <c r="X11" s="1">
        <f t="shared" si="7"/>
        <v>7.722906232986289</v>
      </c>
    </row>
    <row r="12" spans="1:24" x14ac:dyDescent="0.25">
      <c r="A12" s="7">
        <v>1.6666666666666667</v>
      </c>
      <c r="B12" s="23">
        <v>7.5744960614115722E-4</v>
      </c>
      <c r="C12" s="24">
        <v>7.5744960614115731E-2</v>
      </c>
      <c r="D12" s="23"/>
      <c r="J12" s="1">
        <f t="shared" si="0"/>
        <v>1.6666666666666667</v>
      </c>
      <c r="K12" s="1">
        <v>0</v>
      </c>
      <c r="L12" s="1">
        <f t="shared" si="1"/>
        <v>7.5744960614115717E-2</v>
      </c>
      <c r="M12" s="1">
        <f t="shared" si="3"/>
        <v>0.75613050455288811</v>
      </c>
      <c r="N12" s="27">
        <v>4.0000000000000001E-3</v>
      </c>
      <c r="O12" s="1">
        <f t="shared" si="2"/>
        <v>0.4</v>
      </c>
      <c r="P12" s="26">
        <f t="shared" si="4"/>
        <v>3.9999999999999996</v>
      </c>
      <c r="R12" s="1">
        <v>9</v>
      </c>
      <c r="S12" s="1">
        <v>6.26400000000001</v>
      </c>
      <c r="T12" s="1">
        <f t="shared" si="5"/>
        <v>4.4000000000000004</v>
      </c>
      <c r="U12" s="1">
        <f t="shared" si="6"/>
        <v>5.407444494864575</v>
      </c>
      <c r="W12" s="1">
        <f t="shared" si="8"/>
        <v>17.425000000000008</v>
      </c>
      <c r="X12" s="1">
        <f t="shared" si="7"/>
        <v>13.130350727850864</v>
      </c>
    </row>
    <row r="13" spans="1:24" x14ac:dyDescent="0.25">
      <c r="A13" s="7">
        <v>1.8333333333333333</v>
      </c>
      <c r="B13" s="23">
        <v>7.5815730581872492E-4</v>
      </c>
      <c r="C13" s="24">
        <v>7.5815730581872492E-2</v>
      </c>
      <c r="D13" s="23"/>
      <c r="J13" s="1">
        <f t="shared" si="0"/>
        <v>1.8333333333333333</v>
      </c>
      <c r="K13" s="1">
        <v>0</v>
      </c>
      <c r="L13" s="1">
        <f t="shared" si="1"/>
        <v>7.5815730581872492E-2</v>
      </c>
      <c r="M13" s="1">
        <f t="shared" si="3"/>
        <v>0.83194623513476063</v>
      </c>
      <c r="N13" s="27">
        <v>4.0000000000000001E-3</v>
      </c>
      <c r="O13" s="1">
        <f t="shared" si="2"/>
        <v>0.4</v>
      </c>
      <c r="P13" s="26">
        <f t="shared" si="4"/>
        <v>4.3999999999999995</v>
      </c>
      <c r="R13" s="1">
        <v>10</v>
      </c>
      <c r="S13" s="1">
        <v>8.7779999999999916</v>
      </c>
      <c r="T13" s="1">
        <f t="shared" si="5"/>
        <v>7.9</v>
      </c>
      <c r="U13" s="1">
        <f t="shared" si="6"/>
        <v>8.7660283544790492</v>
      </c>
      <c r="W13" s="1">
        <f t="shared" si="8"/>
        <v>26.202999999999999</v>
      </c>
      <c r="X13" s="1">
        <f t="shared" si="7"/>
        <v>21.896379082329915</v>
      </c>
    </row>
    <row r="14" spans="1:24" x14ac:dyDescent="0.25">
      <c r="A14" s="7">
        <v>2</v>
      </c>
      <c r="B14" s="23">
        <v>7.5909073317177039E-4</v>
      </c>
      <c r="C14" s="24">
        <v>7.5909073317177042E-2</v>
      </c>
      <c r="D14" s="23"/>
      <c r="J14" s="1">
        <f t="shared" si="0"/>
        <v>2</v>
      </c>
      <c r="K14" s="1">
        <v>0.1</v>
      </c>
      <c r="L14" s="1">
        <f t="shared" si="1"/>
        <v>7.5909073317177042E-2</v>
      </c>
      <c r="M14" s="1">
        <f t="shared" si="3"/>
        <v>0.90785530845193763</v>
      </c>
      <c r="N14" s="27">
        <v>4.0000000000000001E-3</v>
      </c>
      <c r="O14" s="1">
        <f t="shared" si="2"/>
        <v>0.4</v>
      </c>
      <c r="P14" s="26">
        <f t="shared" si="4"/>
        <v>4.8</v>
      </c>
      <c r="R14" s="1">
        <v>11</v>
      </c>
      <c r="S14" s="1">
        <v>12.257999999999999</v>
      </c>
      <c r="T14" s="1">
        <f t="shared" si="5"/>
        <v>13.599999999999998</v>
      </c>
      <c r="U14" s="1">
        <f t="shared" si="6"/>
        <v>12.245984160388833</v>
      </c>
      <c r="W14" s="1">
        <f t="shared" si="8"/>
        <v>38.460999999999999</v>
      </c>
      <c r="X14" s="1">
        <f t="shared" si="7"/>
        <v>34.142363242718744</v>
      </c>
    </row>
    <row r="15" spans="1:24" x14ac:dyDescent="0.25">
      <c r="A15" s="7">
        <v>2.1666666666666665</v>
      </c>
      <c r="B15" s="23">
        <v>7.6031575832622605E-4</v>
      </c>
      <c r="C15" s="24">
        <v>7.60315758326226E-2</v>
      </c>
      <c r="D15" s="23"/>
      <c r="J15" s="1">
        <f t="shared" si="0"/>
        <v>2.1666666666666665</v>
      </c>
      <c r="K15" s="1">
        <v>0</v>
      </c>
      <c r="L15" s="1">
        <f t="shared" si="1"/>
        <v>7.60315758326226E-2</v>
      </c>
      <c r="M15" s="1">
        <f t="shared" si="3"/>
        <v>0.98388688428456028</v>
      </c>
      <c r="N15" s="27">
        <v>4.0000000000000001E-3</v>
      </c>
      <c r="O15" s="1">
        <f t="shared" si="2"/>
        <v>0.4</v>
      </c>
      <c r="P15" s="26">
        <f t="shared" si="4"/>
        <v>5.2</v>
      </c>
      <c r="R15" s="1">
        <v>12</v>
      </c>
      <c r="S15" s="1">
        <v>15.020000000000003</v>
      </c>
      <c r="T15" s="1">
        <f t="shared" si="5"/>
        <v>21.800000000000004</v>
      </c>
      <c r="U15" s="1">
        <f t="shared" si="6"/>
        <v>14.597642434196061</v>
      </c>
      <c r="W15" s="1">
        <f t="shared" si="8"/>
        <v>53.481000000000002</v>
      </c>
      <c r="X15" s="1">
        <f t="shared" si="7"/>
        <v>48.740005676914805</v>
      </c>
    </row>
    <row r="16" spans="1:24" x14ac:dyDescent="0.25">
      <c r="A16" s="7">
        <v>2.3333333333333335</v>
      </c>
      <c r="B16" s="23">
        <v>7.6191545860103155E-4</v>
      </c>
      <c r="C16" s="24">
        <v>7.6191545860103155E-2</v>
      </c>
      <c r="D16" s="23"/>
      <c r="J16" s="1">
        <f t="shared" si="0"/>
        <v>2.3333333333333335</v>
      </c>
      <c r="K16" s="1">
        <v>0</v>
      </c>
      <c r="L16" s="1">
        <f t="shared" si="1"/>
        <v>7.6191545860103155E-2</v>
      </c>
      <c r="M16" s="1">
        <f t="shared" si="3"/>
        <v>1.0600784301446635</v>
      </c>
      <c r="N16" s="27">
        <v>4.0000000000000001E-3</v>
      </c>
      <c r="O16" s="1">
        <f t="shared" si="2"/>
        <v>0.4</v>
      </c>
      <c r="P16" s="26">
        <f t="shared" si="4"/>
        <v>5.6000000000000005</v>
      </c>
      <c r="R16" s="1">
        <v>13</v>
      </c>
      <c r="S16" s="1">
        <v>14.832999999999991</v>
      </c>
      <c r="T16" s="1">
        <f t="shared" si="5"/>
        <v>18.799999999999997</v>
      </c>
      <c r="U16" s="1">
        <f t="shared" si="6"/>
        <v>14.802178651232023</v>
      </c>
      <c r="W16" s="1">
        <f t="shared" si="8"/>
        <v>68.313999999999993</v>
      </c>
      <c r="X16" s="1">
        <f t="shared" si="7"/>
        <v>63.542184328146831</v>
      </c>
    </row>
    <row r="17" spans="1:27" x14ac:dyDescent="0.25">
      <c r="A17" s="7">
        <v>2.5</v>
      </c>
      <c r="B17" s="23">
        <v>7.6399399358770097E-4</v>
      </c>
      <c r="C17" s="24">
        <v>7.6399399358770104E-2</v>
      </c>
      <c r="D17" s="23"/>
      <c r="J17" s="1">
        <f t="shared" si="0"/>
        <v>2.5</v>
      </c>
      <c r="K17" s="1">
        <v>0</v>
      </c>
      <c r="L17" s="1">
        <f t="shared" si="1"/>
        <v>7.6399399358770104E-2</v>
      </c>
      <c r="M17" s="1">
        <f t="shared" si="3"/>
        <v>1.1364778295034337</v>
      </c>
      <c r="N17" s="27">
        <v>4.0000000000000001E-3</v>
      </c>
      <c r="O17" s="1">
        <f t="shared" si="2"/>
        <v>0.4</v>
      </c>
      <c r="P17" s="26">
        <f t="shared" si="4"/>
        <v>6.0000000000000009</v>
      </c>
      <c r="R17" s="1">
        <v>14</v>
      </c>
      <c r="S17" s="1">
        <v>9.9000000000000057</v>
      </c>
      <c r="T17" s="1">
        <f t="shared" si="5"/>
        <v>11.299999999999997</v>
      </c>
      <c r="U17" s="1">
        <f t="shared" si="6"/>
        <v>12.76683525601633</v>
      </c>
      <c r="W17" s="1">
        <f t="shared" si="8"/>
        <v>78.213999999999999</v>
      </c>
      <c r="X17" s="1">
        <f t="shared" si="7"/>
        <v>76.309019584163167</v>
      </c>
    </row>
    <row r="18" spans="1:27" x14ac:dyDescent="0.25">
      <c r="A18" s="7">
        <v>2.6666666666666665</v>
      </c>
      <c r="B18" s="23">
        <v>7.6668117467789797E-4</v>
      </c>
      <c r="C18" s="24">
        <v>7.6668117467789801E-2</v>
      </c>
      <c r="D18" s="23"/>
      <c r="J18" s="1">
        <f t="shared" si="0"/>
        <v>2.6666666666666665</v>
      </c>
      <c r="K18" s="1">
        <v>0.1</v>
      </c>
      <c r="L18" s="1">
        <f t="shared" si="1"/>
        <v>7.6668117467789801E-2</v>
      </c>
      <c r="M18" s="1">
        <f t="shared" si="3"/>
        <v>1.2131459469712236</v>
      </c>
      <c r="N18" s="27">
        <v>4.0000000000000001E-3</v>
      </c>
      <c r="O18" s="1">
        <f t="shared" si="2"/>
        <v>0.4</v>
      </c>
      <c r="P18" s="26">
        <f t="shared" si="4"/>
        <v>6.4000000000000012</v>
      </c>
      <c r="R18" s="1">
        <v>15</v>
      </c>
      <c r="S18" s="1">
        <v>7.546999999999997</v>
      </c>
      <c r="T18" s="1">
        <f t="shared" si="5"/>
        <v>6.5</v>
      </c>
      <c r="U18" s="1">
        <f t="shared" si="6"/>
        <v>9.3873709610269263</v>
      </c>
      <c r="W18" s="1">
        <f t="shared" si="8"/>
        <v>85.760999999999996</v>
      </c>
      <c r="X18" s="1">
        <f t="shared" si="7"/>
        <v>85.696390545190098</v>
      </c>
    </row>
    <row r="19" spans="1:27" x14ac:dyDescent="0.25">
      <c r="A19" s="7">
        <v>2.8333333333333335</v>
      </c>
      <c r="B19" s="23">
        <v>7.7013780513705496E-4</v>
      </c>
      <c r="C19" s="24">
        <v>7.7013780513705499E-2</v>
      </c>
      <c r="D19" s="23"/>
      <c r="J19" s="1">
        <f t="shared" si="0"/>
        <v>2.8333333333333335</v>
      </c>
      <c r="K19" s="1">
        <v>0</v>
      </c>
      <c r="L19" s="1">
        <f t="shared" si="1"/>
        <v>7.7013780513705499E-2</v>
      </c>
      <c r="M19" s="1">
        <f t="shared" si="3"/>
        <v>1.290159727484929</v>
      </c>
      <c r="N19" s="27">
        <v>4.0000000000000001E-3</v>
      </c>
      <c r="O19" s="1">
        <f t="shared" si="2"/>
        <v>0.4</v>
      </c>
      <c r="P19" s="26">
        <f t="shared" si="4"/>
        <v>6.8000000000000016</v>
      </c>
      <c r="R19" s="1">
        <v>16</v>
      </c>
      <c r="S19" s="1">
        <v>4.6640000000000015</v>
      </c>
      <c r="T19" s="1">
        <f t="shared" si="5"/>
        <v>3.7000000000000028</v>
      </c>
      <c r="U19" s="1">
        <f t="shared" si="6"/>
        <v>5.9336921761838699</v>
      </c>
      <c r="W19" s="1">
        <f t="shared" si="8"/>
        <v>90.424999999999997</v>
      </c>
      <c r="X19" s="1">
        <f t="shared" si="7"/>
        <v>91.630082721373967</v>
      </c>
    </row>
    <row r="20" spans="1:27" x14ac:dyDescent="0.25">
      <c r="A20" s="7">
        <v>3</v>
      </c>
      <c r="B20" s="23">
        <v>7.7456186200038643E-4</v>
      </c>
      <c r="C20" s="24">
        <v>7.7456186200038649E-2</v>
      </c>
      <c r="D20" s="23"/>
      <c r="J20" s="1">
        <f t="shared" si="0"/>
        <v>3</v>
      </c>
      <c r="K20" s="1">
        <v>9.9999999999999978E-2</v>
      </c>
      <c r="L20" s="1">
        <f t="shared" si="1"/>
        <v>7.7456186200038649E-2</v>
      </c>
      <c r="M20" s="1">
        <f t="shared" si="3"/>
        <v>1.3676159136849677</v>
      </c>
      <c r="N20" s="27">
        <v>4.0000000000000001E-3</v>
      </c>
      <c r="O20" s="1">
        <f t="shared" si="2"/>
        <v>0.4</v>
      </c>
      <c r="P20" s="26">
        <f t="shared" si="4"/>
        <v>7.200000000000002</v>
      </c>
      <c r="R20" s="1">
        <v>17</v>
      </c>
      <c r="S20" s="1">
        <v>4.0990000000000038</v>
      </c>
      <c r="T20" s="1">
        <f t="shared" si="5"/>
        <v>2.0999999999999943</v>
      </c>
      <c r="U20" s="1">
        <f t="shared" si="6"/>
        <v>3.2955303721794786</v>
      </c>
      <c r="W20" s="1">
        <f t="shared" si="8"/>
        <v>94.524000000000001</v>
      </c>
      <c r="X20" s="1">
        <f t="shared" si="7"/>
        <v>94.925613093553451</v>
      </c>
    </row>
    <row r="21" spans="1:27" x14ac:dyDescent="0.25">
      <c r="A21" s="7">
        <v>3.1666666666666665</v>
      </c>
      <c r="B21" s="23">
        <v>7.8019558163244535E-4</v>
      </c>
      <c r="C21" s="24">
        <v>7.8019558163244532E-2</v>
      </c>
      <c r="D21" s="23"/>
      <c r="J21" s="1">
        <f t="shared" si="0"/>
        <v>3.1666666666666665</v>
      </c>
      <c r="K21" s="1">
        <v>0.10000000000000003</v>
      </c>
      <c r="L21" s="1">
        <f t="shared" si="1"/>
        <v>7.8019558163244532E-2</v>
      </c>
      <c r="M21" s="1">
        <f t="shared" si="3"/>
        <v>1.4456354718482123</v>
      </c>
      <c r="N21" s="27">
        <v>4.0000000000000001E-3</v>
      </c>
      <c r="O21" s="1">
        <f t="shared" si="2"/>
        <v>0.4</v>
      </c>
      <c r="P21" s="26">
        <f t="shared" si="4"/>
        <v>7.6000000000000023</v>
      </c>
      <c r="R21" s="1">
        <v>18</v>
      </c>
      <c r="S21" s="1">
        <v>1.7919999999999874</v>
      </c>
      <c r="T21" s="1">
        <f t="shared" si="5"/>
        <v>1.5</v>
      </c>
      <c r="U21" s="1">
        <f t="shared" si="6"/>
        <v>1.6994658477516862</v>
      </c>
      <c r="W21" s="1">
        <f t="shared" si="8"/>
        <v>96.315999999999988</v>
      </c>
      <c r="X21" s="1">
        <f t="shared" si="7"/>
        <v>96.625078941305134</v>
      </c>
    </row>
    <row r="22" spans="1:27" x14ac:dyDescent="0.25">
      <c r="A22" s="7">
        <v>3.3333333333333335</v>
      </c>
      <c r="B22" s="23">
        <v>7.8733349575136225E-4</v>
      </c>
      <c r="C22" s="24">
        <v>7.8733349575136224E-2</v>
      </c>
      <c r="D22" s="23"/>
      <c r="J22" s="1">
        <f t="shared" si="0"/>
        <v>3.3333333333333335</v>
      </c>
      <c r="K22" s="1">
        <v>0</v>
      </c>
      <c r="L22" s="1">
        <f t="shared" si="1"/>
        <v>7.8733349575136224E-2</v>
      </c>
      <c r="M22" s="1">
        <f t="shared" si="3"/>
        <v>1.5243688214233484</v>
      </c>
      <c r="N22" s="27">
        <v>4.0000000000000001E-3</v>
      </c>
      <c r="O22" s="1">
        <f t="shared" si="2"/>
        <v>0.4</v>
      </c>
      <c r="P22" s="26">
        <f t="shared" si="4"/>
        <v>8.0000000000000018</v>
      </c>
      <c r="R22" s="1">
        <v>19</v>
      </c>
      <c r="S22" s="1">
        <v>1.3289999999999935</v>
      </c>
      <c r="T22" s="1">
        <f t="shared" si="5"/>
        <v>0.80000000000001137</v>
      </c>
      <c r="U22" s="1">
        <f t="shared" si="6"/>
        <v>0.91518037628378179</v>
      </c>
      <c r="W22" s="1">
        <f t="shared" si="8"/>
        <v>97.644999999999982</v>
      </c>
      <c r="X22" s="1">
        <f t="shared" si="7"/>
        <v>97.540259317588919</v>
      </c>
    </row>
    <row r="23" spans="1:27" x14ac:dyDescent="0.25">
      <c r="A23" s="7">
        <v>3.5</v>
      </c>
      <c r="B23" s="23">
        <v>7.9633144307638955E-4</v>
      </c>
      <c r="C23" s="24">
        <v>7.9633144307638959E-2</v>
      </c>
      <c r="D23" s="23"/>
      <c r="J23" s="1">
        <f t="shared" si="0"/>
        <v>3.5</v>
      </c>
      <c r="K23" s="1">
        <v>9.9999999999999978E-2</v>
      </c>
      <c r="L23" s="1">
        <f t="shared" si="1"/>
        <v>7.9633144307638959E-2</v>
      </c>
      <c r="M23" s="1">
        <f t="shared" si="3"/>
        <v>1.6040019657309874</v>
      </c>
      <c r="N23" s="27">
        <v>4.0000000000000001E-3</v>
      </c>
      <c r="O23" s="1">
        <f t="shared" si="2"/>
        <v>0.4</v>
      </c>
      <c r="P23" s="26">
        <f t="shared" si="4"/>
        <v>8.4000000000000021</v>
      </c>
      <c r="R23" s="1">
        <v>20</v>
      </c>
      <c r="S23" s="1">
        <v>0.83400000000000318</v>
      </c>
      <c r="T23" s="1">
        <f t="shared" si="5"/>
        <v>0.59999999999999432</v>
      </c>
      <c r="U23" s="1">
        <f t="shared" si="6"/>
        <v>0.5979883714713361</v>
      </c>
      <c r="W23" s="1">
        <f t="shared" si="8"/>
        <v>98.478999999999985</v>
      </c>
      <c r="X23" s="1">
        <f t="shared" si="7"/>
        <v>98.13824768906025</v>
      </c>
    </row>
    <row r="24" spans="1:27" x14ac:dyDescent="0.25">
      <c r="A24" s="7">
        <v>3.6666666666666665</v>
      </c>
      <c r="B24" s="23">
        <v>8.076165525651509E-4</v>
      </c>
      <c r="C24" s="24">
        <v>8.0761655256515089E-2</v>
      </c>
      <c r="D24" s="23"/>
      <c r="J24" s="1">
        <f t="shared" si="0"/>
        <v>3.6666666666666665</v>
      </c>
      <c r="K24" s="1">
        <v>9.9999999999999978E-2</v>
      </c>
      <c r="L24" s="1">
        <f t="shared" si="1"/>
        <v>8.0761655256515089E-2</v>
      </c>
      <c r="M24" s="1">
        <f t="shared" si="3"/>
        <v>1.6847636209875025</v>
      </c>
      <c r="N24" s="27">
        <v>4.0000000000000001E-3</v>
      </c>
      <c r="O24" s="1">
        <f t="shared" si="2"/>
        <v>0.4</v>
      </c>
      <c r="P24" s="26">
        <f t="shared" si="4"/>
        <v>8.8000000000000025</v>
      </c>
      <c r="R24" s="1">
        <v>21</v>
      </c>
      <c r="S24" s="1">
        <v>0.56100000000000705</v>
      </c>
      <c r="T24" s="1">
        <f t="shared" si="5"/>
        <v>0.5</v>
      </c>
      <c r="U24" s="1">
        <f t="shared" si="6"/>
        <v>0.49157847690689038</v>
      </c>
      <c r="W24" s="1">
        <f t="shared" si="8"/>
        <v>99.039999999999992</v>
      </c>
      <c r="X24" s="1">
        <f t="shared" si="7"/>
        <v>98.629826165967145</v>
      </c>
    </row>
    <row r="25" spans="1:27" x14ac:dyDescent="0.25">
      <c r="A25" s="7">
        <v>3.8333333333333335</v>
      </c>
      <c r="B25" s="23">
        <v>8.2169815663954622E-4</v>
      </c>
      <c r="C25" s="24">
        <v>8.2169815663954621E-2</v>
      </c>
      <c r="D25" s="23"/>
      <c r="J25" s="1">
        <f t="shared" si="0"/>
        <v>3.8333333333333335</v>
      </c>
      <c r="K25" s="1">
        <v>9.9999999999999978E-2</v>
      </c>
      <c r="L25" s="1">
        <f t="shared" si="1"/>
        <v>8.2169815663954621E-2</v>
      </c>
      <c r="M25" s="1">
        <f t="shared" si="3"/>
        <v>1.7669334366514571</v>
      </c>
      <c r="N25" s="27">
        <v>4.0000000000000001E-3</v>
      </c>
      <c r="O25" s="1">
        <f t="shared" si="2"/>
        <v>0.4</v>
      </c>
      <c r="P25" s="26">
        <f t="shared" si="4"/>
        <v>9.2000000000000028</v>
      </c>
      <c r="R25" s="1">
        <v>22</v>
      </c>
      <c r="S25" s="1">
        <v>0.41899999999999693</v>
      </c>
      <c r="T25" s="1">
        <f t="shared" si="5"/>
        <v>0</v>
      </c>
      <c r="U25" s="1">
        <f t="shared" si="6"/>
        <v>0.46182008918309214</v>
      </c>
      <c r="W25" s="1">
        <f t="shared" si="8"/>
        <v>99.458999999999989</v>
      </c>
      <c r="X25" s="1">
        <f t="shared" si="7"/>
        <v>99.091646255150238</v>
      </c>
    </row>
    <row r="26" spans="1:27" x14ac:dyDescent="0.25">
      <c r="A26" s="7">
        <v>4</v>
      </c>
      <c r="B26" s="23">
        <v>8.3917954623718711E-4</v>
      </c>
      <c r="C26" s="24">
        <v>8.3917954623718718E-2</v>
      </c>
      <c r="D26" s="23"/>
      <c r="J26" s="1">
        <f t="shared" si="0"/>
        <v>4</v>
      </c>
      <c r="K26" s="1">
        <v>0.10000000000000009</v>
      </c>
      <c r="L26" s="1">
        <f t="shared" si="1"/>
        <v>8.3917954623718705E-2</v>
      </c>
      <c r="M26" s="1">
        <f t="shared" si="3"/>
        <v>1.8508513912751758</v>
      </c>
      <c r="N26" s="27">
        <v>4.0000000000000001E-3</v>
      </c>
      <c r="O26" s="1">
        <f t="shared" si="2"/>
        <v>0.4</v>
      </c>
      <c r="P26" s="26">
        <f t="shared" si="4"/>
        <v>9.6000000000000032</v>
      </c>
      <c r="R26" s="1">
        <v>23</v>
      </c>
      <c r="S26" s="1">
        <v>0.29900000000000659</v>
      </c>
      <c r="T26" s="1">
        <f t="shared" si="5"/>
        <v>0</v>
      </c>
      <c r="U26" s="1">
        <f t="shared" si="6"/>
        <v>0.45485937029078849</v>
      </c>
      <c r="W26" s="1">
        <f t="shared" si="8"/>
        <v>99.757999999999996</v>
      </c>
      <c r="X26" s="1">
        <f t="shared" si="7"/>
        <v>99.546505625441029</v>
      </c>
    </row>
    <row r="27" spans="1:27" x14ac:dyDescent="0.25">
      <c r="A27" s="7">
        <v>4.166666666666667</v>
      </c>
      <c r="B27" s="23">
        <v>8.6077042365123677E-4</v>
      </c>
      <c r="C27" s="24">
        <v>8.6077042365123674E-2</v>
      </c>
      <c r="D27" s="23"/>
      <c r="J27" s="1">
        <f t="shared" si="0"/>
        <v>4.166666666666667</v>
      </c>
      <c r="K27" s="1">
        <v>9.9999999999999978E-2</v>
      </c>
      <c r="L27" s="1">
        <f t="shared" si="1"/>
        <v>8.6077042365123674E-2</v>
      </c>
      <c r="M27" s="1">
        <f t="shared" si="3"/>
        <v>1.9369284336402994</v>
      </c>
      <c r="N27" s="27">
        <v>4.0000000000000001E-3</v>
      </c>
      <c r="O27" s="1">
        <f t="shared" si="2"/>
        <v>0.4</v>
      </c>
      <c r="P27" s="26">
        <f t="shared" si="4"/>
        <v>10.000000000000004</v>
      </c>
      <c r="R27" s="1">
        <v>24</v>
      </c>
      <c r="S27" s="1">
        <v>0.24200000000000443</v>
      </c>
      <c r="T27" s="1">
        <f t="shared" si="5"/>
        <v>0</v>
      </c>
      <c r="U27" s="1">
        <f t="shared" si="6"/>
        <v>0.45349437455907632</v>
      </c>
      <c r="W27" s="1">
        <f t="shared" si="8"/>
        <v>100</v>
      </c>
      <c r="X27" s="1">
        <f t="shared" si="7"/>
        <v>100.0000000000001</v>
      </c>
    </row>
    <row r="28" spans="1:27" x14ac:dyDescent="0.25">
      <c r="A28" s="7">
        <v>4.333333333333333</v>
      </c>
      <c r="B28" s="23">
        <v>8.8729984402466779E-4</v>
      </c>
      <c r="C28" s="24">
        <v>8.872998440246678E-2</v>
      </c>
      <c r="D28" s="23"/>
      <c r="J28" s="1">
        <f t="shared" si="0"/>
        <v>4.333333333333333</v>
      </c>
      <c r="K28" s="1">
        <v>9.9999999999999978E-2</v>
      </c>
      <c r="L28" s="1">
        <f t="shared" si="1"/>
        <v>8.872998440246678E-2</v>
      </c>
      <c r="M28" s="1">
        <f t="shared" si="3"/>
        <v>2.0256584180427661</v>
      </c>
      <c r="N28" s="27">
        <v>4.0000000000000001E-3</v>
      </c>
      <c r="O28" s="1">
        <f t="shared" si="2"/>
        <v>0.4</v>
      </c>
      <c r="P28" s="26">
        <f t="shared" si="4"/>
        <v>10.400000000000004</v>
      </c>
    </row>
    <row r="29" spans="1:27" x14ac:dyDescent="0.25">
      <c r="A29" s="7">
        <v>4.5</v>
      </c>
      <c r="B29" s="23">
        <v>9.1972936264799355E-4</v>
      </c>
      <c r="C29" s="24">
        <v>9.1972936264799354E-2</v>
      </c>
      <c r="D29" s="23"/>
      <c r="J29" s="1">
        <f t="shared" si="0"/>
        <v>4.5</v>
      </c>
      <c r="K29" s="1">
        <v>0.10000000000000009</v>
      </c>
      <c r="L29" s="1">
        <f t="shared" si="1"/>
        <v>9.1972936264799354E-2</v>
      </c>
      <c r="M29" s="1">
        <f t="shared" si="3"/>
        <v>2.1176313543075653</v>
      </c>
      <c r="N29" s="27">
        <v>4.0000000000000001E-3</v>
      </c>
      <c r="O29" s="1">
        <f t="shared" si="2"/>
        <v>0.4</v>
      </c>
      <c r="P29" s="26">
        <f t="shared" si="4"/>
        <v>10.800000000000004</v>
      </c>
    </row>
    <row r="30" spans="1:27" x14ac:dyDescent="0.25">
      <c r="A30" s="7">
        <v>4.666666666666667</v>
      </c>
      <c r="B30" s="23">
        <v>9.5916602409335471E-4</v>
      </c>
      <c r="C30" s="24">
        <v>9.5916602409335472E-2</v>
      </c>
      <c r="D30" s="23"/>
      <c r="J30" s="1">
        <f t="shared" si="0"/>
        <v>4.666666666666667</v>
      </c>
      <c r="K30" s="1">
        <v>9.9999999999999867E-2</v>
      </c>
      <c r="L30" s="1">
        <f t="shared" si="1"/>
        <v>9.5916602409335472E-2</v>
      </c>
      <c r="M30" s="1">
        <f t="shared" si="3"/>
        <v>2.213547956716901</v>
      </c>
      <c r="N30" s="27">
        <v>4.0000000000000001E-3</v>
      </c>
      <c r="O30" s="1">
        <f t="shared" si="2"/>
        <v>0.4</v>
      </c>
      <c r="P30" s="26">
        <f t="shared" si="4"/>
        <v>11.200000000000005</v>
      </c>
      <c r="AA30" s="1">
        <f>0.301*1300</f>
        <v>391.3</v>
      </c>
    </row>
    <row r="31" spans="1:27" x14ac:dyDescent="0.25">
      <c r="A31" s="7">
        <v>4.833333333333333</v>
      </c>
      <c r="B31" s="23">
        <v>1.0068747426344195E-3</v>
      </c>
      <c r="C31" s="24">
        <v>0.10068747426344196</v>
      </c>
      <c r="D31" s="23"/>
      <c r="J31" s="1">
        <f t="shared" si="0"/>
        <v>4.833333333333333</v>
      </c>
      <c r="K31" s="1">
        <v>0.10000000000000009</v>
      </c>
      <c r="L31" s="1">
        <f t="shared" si="1"/>
        <v>0.10068747426344195</v>
      </c>
      <c r="M31" s="1">
        <f t="shared" si="3"/>
        <v>2.314235430980343</v>
      </c>
      <c r="N31" s="27">
        <v>4.0000000000000001E-3</v>
      </c>
      <c r="O31" s="1">
        <f t="shared" si="2"/>
        <v>0.4</v>
      </c>
      <c r="P31" s="26">
        <f t="shared" si="4"/>
        <v>11.600000000000005</v>
      </c>
    </row>
    <row r="32" spans="1:27" x14ac:dyDescent="0.25">
      <c r="A32" s="7">
        <v>5</v>
      </c>
      <c r="B32" s="23">
        <v>1.0642895340664588E-3</v>
      </c>
      <c r="C32" s="24">
        <v>0.10642895340664589</v>
      </c>
      <c r="D32" s="23"/>
      <c r="J32" s="1">
        <f t="shared" si="0"/>
        <v>5</v>
      </c>
      <c r="K32" s="1">
        <v>9.9999999999999867E-2</v>
      </c>
      <c r="L32" s="1">
        <f t="shared" si="1"/>
        <v>0.10642895340664588</v>
      </c>
      <c r="M32" s="1">
        <f t="shared" si="3"/>
        <v>2.4206643843869888</v>
      </c>
      <c r="N32" s="27">
        <v>4.0000000000000001E-3</v>
      </c>
      <c r="O32" s="1">
        <f t="shared" si="2"/>
        <v>0.4</v>
      </c>
      <c r="P32" s="26">
        <f t="shared" si="4"/>
        <v>12.000000000000005</v>
      </c>
    </row>
    <row r="33" spans="1:16" x14ac:dyDescent="0.25">
      <c r="A33" s="7">
        <v>5.166666666666667</v>
      </c>
      <c r="B33" s="23">
        <v>1.1330229704950017E-3</v>
      </c>
      <c r="C33" s="24">
        <v>0.11330229704950016</v>
      </c>
      <c r="D33" s="23"/>
      <c r="J33" s="1">
        <f t="shared" si="0"/>
        <v>5.166666666666667</v>
      </c>
      <c r="K33" s="1">
        <v>0.10000000000000009</v>
      </c>
      <c r="L33" s="1">
        <f t="shared" si="1"/>
        <v>0.11330229704950016</v>
      </c>
      <c r="M33" s="1">
        <f t="shared" si="3"/>
        <v>2.533966681436489</v>
      </c>
      <c r="N33" s="27">
        <v>4.0000000000000001E-3</v>
      </c>
      <c r="O33" s="1">
        <f t="shared" si="2"/>
        <v>0.4</v>
      </c>
      <c r="P33" s="26">
        <f t="shared" si="4"/>
        <v>12.400000000000006</v>
      </c>
    </row>
    <row r="34" spans="1:16" x14ac:dyDescent="0.25">
      <c r="A34" s="7">
        <v>5.333333333333333</v>
      </c>
      <c r="B34" s="23">
        <v>1.2148731462707828E-3</v>
      </c>
      <c r="C34" s="24">
        <v>0.12148731462707826</v>
      </c>
      <c r="D34" s="23"/>
      <c r="J34" s="1">
        <f t="shared" si="0"/>
        <v>5.333333333333333</v>
      </c>
      <c r="K34" s="1">
        <v>0.19999999999999996</v>
      </c>
      <c r="L34" s="1">
        <f t="shared" si="1"/>
        <v>0.12148731462707828</v>
      </c>
      <c r="M34" s="1">
        <f t="shared" si="3"/>
        <v>2.6554539960635672</v>
      </c>
      <c r="N34" s="27">
        <v>5.0000000000000001E-3</v>
      </c>
      <c r="O34" s="1">
        <f t="shared" si="2"/>
        <v>0.5</v>
      </c>
      <c r="P34" s="26">
        <f t="shared" si="4"/>
        <v>12.900000000000006</v>
      </c>
    </row>
    <row r="35" spans="1:16" x14ac:dyDescent="0.25">
      <c r="A35" s="7">
        <v>5.5</v>
      </c>
      <c r="B35" s="23">
        <v>1.3118273701530475E-3</v>
      </c>
      <c r="C35" s="24">
        <v>0.13118273701530475</v>
      </c>
      <c r="D35" s="23"/>
      <c r="J35" s="1">
        <f t="shared" si="0"/>
        <v>5.5</v>
      </c>
      <c r="K35" s="1">
        <v>0.10000000000000009</v>
      </c>
      <c r="L35" s="1">
        <f t="shared" si="1"/>
        <v>0.13118273701530475</v>
      </c>
      <c r="M35" s="1">
        <f t="shared" si="3"/>
        <v>2.7866367330788719</v>
      </c>
      <c r="N35" s="27">
        <v>5.0000000000000001E-3</v>
      </c>
      <c r="O35" s="1">
        <f t="shared" si="2"/>
        <v>0.5</v>
      </c>
      <c r="P35" s="26">
        <f t="shared" si="4"/>
        <v>13.400000000000006</v>
      </c>
    </row>
    <row r="36" spans="1:16" x14ac:dyDescent="0.25">
      <c r="A36" s="7">
        <v>5.666666666666667</v>
      </c>
      <c r="B36" s="23">
        <v>1.4260617417835922E-3</v>
      </c>
      <c r="C36" s="24">
        <v>0.14260617417835922</v>
      </c>
      <c r="D36" s="23"/>
      <c r="J36" s="1">
        <f t="shared" si="0"/>
        <v>5.666666666666667</v>
      </c>
      <c r="K36" s="1">
        <v>0.19999999999999996</v>
      </c>
      <c r="L36" s="1">
        <f t="shared" si="1"/>
        <v>0.14260617417835922</v>
      </c>
      <c r="M36" s="1">
        <f t="shared" si="3"/>
        <v>2.929242907257231</v>
      </c>
      <c r="N36" s="27">
        <v>5.0000000000000001E-3</v>
      </c>
      <c r="O36" s="1">
        <f t="shared" si="2"/>
        <v>0.5</v>
      </c>
      <c r="P36" s="26">
        <f t="shared" si="4"/>
        <v>13.900000000000006</v>
      </c>
    </row>
    <row r="37" spans="1:16" x14ac:dyDescent="0.25">
      <c r="A37" s="7">
        <v>5.833333333333333</v>
      </c>
      <c r="B37" s="23">
        <v>1.5599357359321903E-3</v>
      </c>
      <c r="C37" s="24">
        <v>0.15599357359321903</v>
      </c>
      <c r="D37" s="23"/>
      <c r="J37" s="1">
        <f t="shared" si="0"/>
        <v>5.833333333333333</v>
      </c>
      <c r="K37" s="1">
        <v>0.20000000000000018</v>
      </c>
      <c r="L37" s="1">
        <f t="shared" si="1"/>
        <v>0.15599357359321903</v>
      </c>
      <c r="M37" s="1">
        <f t="shared" si="3"/>
        <v>3.0852364808504502</v>
      </c>
      <c r="N37" s="27">
        <v>5.0000000000000001E-3</v>
      </c>
      <c r="O37" s="1">
        <f t="shared" si="2"/>
        <v>0.5</v>
      </c>
      <c r="P37" s="26">
        <f t="shared" si="4"/>
        <v>14.400000000000006</v>
      </c>
    </row>
    <row r="38" spans="1:16" x14ac:dyDescent="0.25">
      <c r="A38" s="7">
        <v>6</v>
      </c>
      <c r="B38" s="23">
        <v>1.7159809122426258E-3</v>
      </c>
      <c r="C38" s="24">
        <v>0.17159809122426259</v>
      </c>
      <c r="D38" s="23"/>
      <c r="J38" s="1">
        <f t="shared" si="0"/>
        <v>6</v>
      </c>
      <c r="K38" s="1">
        <v>0.19999999999999973</v>
      </c>
      <c r="L38" s="1">
        <f t="shared" si="1"/>
        <v>0.17159809122426259</v>
      </c>
      <c r="M38" s="1">
        <f t="shared" si="3"/>
        <v>3.2568345720747129</v>
      </c>
      <c r="N38" s="27">
        <v>5.0000000000000001E-3</v>
      </c>
      <c r="O38" s="1">
        <f t="shared" si="2"/>
        <v>0.5</v>
      </c>
      <c r="P38" s="26">
        <f t="shared" si="4"/>
        <v>14.900000000000006</v>
      </c>
    </row>
    <row r="39" spans="1:16" x14ac:dyDescent="0.25">
      <c r="A39" s="7">
        <v>6.166666666666667</v>
      </c>
      <c r="B39" s="23">
        <v>1.8968828977892283E-3</v>
      </c>
      <c r="C39" s="24">
        <v>0.18968828977892283</v>
      </c>
      <c r="D39" s="23"/>
      <c r="J39" s="1">
        <f t="shared" si="0"/>
        <v>6.166666666666667</v>
      </c>
      <c r="K39" s="1">
        <v>0.30000000000000027</v>
      </c>
      <c r="L39" s="1">
        <f t="shared" si="1"/>
        <v>0.18968828977892283</v>
      </c>
      <c r="M39" s="1">
        <f t="shared" si="3"/>
        <v>3.4465228618536359</v>
      </c>
      <c r="N39" s="27">
        <v>5.0000000000000001E-3</v>
      </c>
      <c r="O39" s="1">
        <f t="shared" si="2"/>
        <v>0.5</v>
      </c>
      <c r="P39" s="26">
        <f t="shared" si="4"/>
        <v>15.400000000000006</v>
      </c>
    </row>
    <row r="40" spans="1:16" x14ac:dyDescent="0.25">
      <c r="A40" s="7">
        <v>6.333333333333333</v>
      </c>
      <c r="B40" s="23">
        <v>2.1054558605935348E-3</v>
      </c>
      <c r="C40" s="24">
        <v>0.21054558605935347</v>
      </c>
      <c r="D40" s="23"/>
      <c r="J40" s="1">
        <f t="shared" si="0"/>
        <v>6.333333333333333</v>
      </c>
      <c r="K40" s="1">
        <v>0.19999999999999973</v>
      </c>
      <c r="L40" s="1">
        <f t="shared" si="1"/>
        <v>0.21054558605935347</v>
      </c>
      <c r="M40" s="1">
        <f t="shared" si="3"/>
        <v>3.6570684479129891</v>
      </c>
      <c r="N40" s="27">
        <v>5.0000000000000001E-3</v>
      </c>
      <c r="O40" s="1">
        <f t="shared" si="2"/>
        <v>0.5</v>
      </c>
      <c r="P40" s="26">
        <f t="shared" si="4"/>
        <v>15.900000000000006</v>
      </c>
    </row>
    <row r="41" spans="1:16" x14ac:dyDescent="0.25">
      <c r="A41" s="7">
        <v>6.5</v>
      </c>
      <c r="B41" s="23">
        <v>2.344608809386378E-3</v>
      </c>
      <c r="C41" s="24">
        <v>0.23446088093863779</v>
      </c>
      <c r="D41" s="23"/>
      <c r="J41" s="1">
        <f t="shared" si="0"/>
        <v>6.5</v>
      </c>
      <c r="K41" s="1">
        <v>0.30000000000000027</v>
      </c>
      <c r="L41" s="1">
        <f t="shared" si="1"/>
        <v>0.23446088093863779</v>
      </c>
      <c r="M41" s="1">
        <f t="shared" si="3"/>
        <v>3.8915293288516271</v>
      </c>
      <c r="N41" s="27">
        <v>5.0000000000000001E-3</v>
      </c>
      <c r="O41" s="1">
        <f t="shared" si="2"/>
        <v>0.5</v>
      </c>
      <c r="P41" s="26">
        <f t="shared" si="4"/>
        <v>16.400000000000006</v>
      </c>
    </row>
    <row r="42" spans="1:16" x14ac:dyDescent="0.25">
      <c r="A42" s="7">
        <v>6.666666666666667</v>
      </c>
      <c r="B42" s="23">
        <v>2.617303221990244E-3</v>
      </c>
      <c r="C42" s="24">
        <v>0.26173032219902437</v>
      </c>
      <c r="D42" s="23"/>
      <c r="J42" s="1">
        <f t="shared" si="0"/>
        <v>6.666666666666667</v>
      </c>
      <c r="K42" s="1">
        <v>0.29999999999999982</v>
      </c>
      <c r="L42" s="1">
        <f t="shared" si="1"/>
        <v>0.26173032219902442</v>
      </c>
      <c r="M42" s="1">
        <f t="shared" si="3"/>
        <v>4.1532596510506519</v>
      </c>
      <c r="N42" s="27">
        <v>5.0000000000000001E-3</v>
      </c>
      <c r="O42" s="1">
        <f t="shared" si="2"/>
        <v>0.5</v>
      </c>
      <c r="P42" s="26">
        <f t="shared" si="4"/>
        <v>16.900000000000006</v>
      </c>
    </row>
    <row r="43" spans="1:16" x14ac:dyDescent="0.25">
      <c r="A43" s="7">
        <v>6.833333333333333</v>
      </c>
      <c r="B43" s="23">
        <v>2.9265017235432641E-3</v>
      </c>
      <c r="C43" s="24">
        <v>0.29265017235432639</v>
      </c>
      <c r="D43" s="23"/>
      <c r="J43" s="1">
        <f t="shared" si="0"/>
        <v>6.833333333333333</v>
      </c>
      <c r="K43" s="1">
        <v>0.29999999999999982</v>
      </c>
      <c r="L43" s="1">
        <f t="shared" si="1"/>
        <v>0.29265017235432639</v>
      </c>
      <c r="M43" s="1">
        <f t="shared" si="3"/>
        <v>4.4459098234049783</v>
      </c>
      <c r="N43" s="27">
        <v>5.0000000000000001E-3</v>
      </c>
      <c r="O43" s="1">
        <f t="shared" si="2"/>
        <v>0.5</v>
      </c>
      <c r="P43" s="26">
        <f t="shared" si="4"/>
        <v>17.400000000000006</v>
      </c>
    </row>
    <row r="44" spans="1:16" x14ac:dyDescent="0.25">
      <c r="A44" s="7">
        <v>7</v>
      </c>
      <c r="B44" s="23">
        <v>3.2751078058831807E-3</v>
      </c>
      <c r="C44" s="24">
        <v>0.32751078058831806</v>
      </c>
      <c r="D44" s="23"/>
      <c r="J44" s="1">
        <f t="shared" si="0"/>
        <v>7</v>
      </c>
      <c r="K44" s="1">
        <v>0.29999999999999982</v>
      </c>
      <c r="L44" s="1">
        <f t="shared" si="1"/>
        <v>0.32751078058831806</v>
      </c>
      <c r="M44" s="1">
        <f t="shared" si="3"/>
        <v>4.773420603993296</v>
      </c>
      <c r="N44" s="27">
        <v>5.0000000000000001E-3</v>
      </c>
      <c r="O44" s="1">
        <f t="shared" si="2"/>
        <v>0.5</v>
      </c>
      <c r="P44" s="26">
        <f t="shared" si="4"/>
        <v>17.900000000000006</v>
      </c>
    </row>
    <row r="45" spans="1:16" x14ac:dyDescent="0.25">
      <c r="A45" s="7">
        <v>7.166666666666667</v>
      </c>
      <c r="B45" s="23">
        <v>3.6658968975431332E-3</v>
      </c>
      <c r="C45" s="24">
        <v>0.36658968975431333</v>
      </c>
      <c r="D45" s="23"/>
      <c r="J45" s="1">
        <f t="shared" si="0"/>
        <v>7.166666666666667</v>
      </c>
      <c r="K45" s="1">
        <v>0.30000000000000071</v>
      </c>
      <c r="L45" s="1">
        <f t="shared" si="1"/>
        <v>0.36658968975431333</v>
      </c>
      <c r="M45" s="1">
        <f t="shared" si="3"/>
        <v>5.1400102937476095</v>
      </c>
      <c r="N45" s="27">
        <v>5.0000000000000001E-3</v>
      </c>
      <c r="O45" s="1">
        <f t="shared" si="2"/>
        <v>0.5</v>
      </c>
      <c r="P45" s="26">
        <f t="shared" si="4"/>
        <v>18.400000000000006</v>
      </c>
    </row>
    <row r="46" spans="1:16" x14ac:dyDescent="0.25">
      <c r="A46" s="7">
        <v>7.333333333333333</v>
      </c>
      <c r="B46" s="23">
        <v>4.1014394537550831E-3</v>
      </c>
      <c r="C46" s="24">
        <v>0.41014394537550825</v>
      </c>
      <c r="D46" s="23"/>
      <c r="J46" s="1">
        <f t="shared" si="0"/>
        <v>7.333333333333333</v>
      </c>
      <c r="K46" s="1">
        <v>0.39999999999999947</v>
      </c>
      <c r="L46" s="1">
        <f t="shared" si="1"/>
        <v>0.4101439453755083</v>
      </c>
      <c r="M46" s="1">
        <f t="shared" si="3"/>
        <v>5.5501542391231178</v>
      </c>
      <c r="N46" s="27">
        <v>5.0000000000000001E-3</v>
      </c>
      <c r="O46" s="1">
        <f t="shared" si="2"/>
        <v>0.5</v>
      </c>
      <c r="P46" s="26">
        <f t="shared" si="4"/>
        <v>18.900000000000006</v>
      </c>
    </row>
    <row r="47" spans="1:16" x14ac:dyDescent="0.25">
      <c r="A47" s="7">
        <v>7.5</v>
      </c>
      <c r="B47" s="23">
        <v>4.5840171281974137E-3</v>
      </c>
      <c r="C47" s="24">
        <v>0.45840171281974135</v>
      </c>
      <c r="D47" s="23"/>
      <c r="J47" s="1">
        <f t="shared" si="0"/>
        <v>7.5</v>
      </c>
      <c r="K47" s="1">
        <v>0.40000000000000036</v>
      </c>
      <c r="L47" s="1">
        <f t="shared" si="1"/>
        <v>0.4584017128197414</v>
      </c>
      <c r="M47" s="1">
        <f t="shared" si="3"/>
        <v>6.0085559519428591</v>
      </c>
      <c r="N47" s="27">
        <v>5.0000000000000001E-3</v>
      </c>
      <c r="O47" s="1">
        <f t="shared" si="2"/>
        <v>0.5</v>
      </c>
      <c r="P47" s="26">
        <f t="shared" si="4"/>
        <v>19.400000000000006</v>
      </c>
    </row>
    <row r="48" spans="1:16" x14ac:dyDescent="0.25">
      <c r="A48" s="7">
        <v>7.666666666666667</v>
      </c>
      <c r="B48" s="23">
        <v>5.1155335003501392E-3</v>
      </c>
      <c r="C48" s="24">
        <v>0.5115533500350139</v>
      </c>
      <c r="D48" s="23"/>
      <c r="J48" s="1">
        <f t="shared" si="0"/>
        <v>7.666666666666667</v>
      </c>
      <c r="K48" s="1">
        <v>0.39999999999999947</v>
      </c>
      <c r="L48" s="1">
        <f t="shared" si="1"/>
        <v>0.5115533500350139</v>
      </c>
      <c r="M48" s="1">
        <f t="shared" si="3"/>
        <v>6.5201093019778726</v>
      </c>
      <c r="N48" s="27">
        <v>5.0000000000000001E-3</v>
      </c>
      <c r="O48" s="1">
        <f t="shared" si="2"/>
        <v>0.5</v>
      </c>
      <c r="P48" s="26">
        <f t="shared" si="4"/>
        <v>19.900000000000006</v>
      </c>
    </row>
    <row r="49" spans="1:16" x14ac:dyDescent="0.25">
      <c r="A49" s="7">
        <v>7.833333333333333</v>
      </c>
      <c r="B49" s="23">
        <v>5.6974212486059625E-3</v>
      </c>
      <c r="C49" s="24">
        <v>0.56974212486059628</v>
      </c>
      <c r="D49" s="23"/>
      <c r="J49" s="1">
        <f t="shared" si="0"/>
        <v>7.833333333333333</v>
      </c>
      <c r="K49" s="1">
        <v>0.40000000000000036</v>
      </c>
      <c r="L49" s="1">
        <f t="shared" si="1"/>
        <v>0.56974212486059628</v>
      </c>
      <c r="M49" s="1">
        <f t="shared" si="3"/>
        <v>7.0898514268384689</v>
      </c>
      <c r="N49" s="27">
        <v>5.0000000000000001E-3</v>
      </c>
      <c r="O49" s="1">
        <f t="shared" si="2"/>
        <v>0.5</v>
      </c>
      <c r="P49" s="26">
        <f t="shared" si="4"/>
        <v>20.400000000000006</v>
      </c>
    </row>
    <row r="50" spans="1:16" x14ac:dyDescent="0.25">
      <c r="A50" s="7">
        <v>8</v>
      </c>
      <c r="B50" s="23">
        <v>6.330548061478195E-3</v>
      </c>
      <c r="C50" s="24">
        <v>0.6330548061478195</v>
      </c>
      <c r="D50" s="23"/>
      <c r="J50" s="1">
        <f t="shared" si="0"/>
        <v>8</v>
      </c>
      <c r="K50" s="1">
        <v>0.5</v>
      </c>
      <c r="L50" s="1">
        <f t="shared" si="1"/>
        <v>0.6330548061478195</v>
      </c>
      <c r="M50" s="1">
        <f t="shared" si="3"/>
        <v>7.7229062329862881</v>
      </c>
      <c r="N50" s="27">
        <v>6.0000000000000001E-3</v>
      </c>
      <c r="O50" s="1">
        <f t="shared" si="2"/>
        <v>0.6</v>
      </c>
      <c r="P50" s="26">
        <f t="shared" si="4"/>
        <v>21.000000000000007</v>
      </c>
    </row>
    <row r="51" spans="1:16" x14ac:dyDescent="0.25">
      <c r="A51" s="7">
        <v>8.1666666666666661</v>
      </c>
      <c r="B51" s="23">
        <v>7.0151239470851974E-3</v>
      </c>
      <c r="C51" s="24">
        <v>0.70151239470851967</v>
      </c>
      <c r="D51" s="23"/>
      <c r="J51" s="1">
        <f t="shared" si="0"/>
        <v>8.1666666666666661</v>
      </c>
      <c r="K51" s="1">
        <v>0.59999999999999964</v>
      </c>
      <c r="L51" s="1">
        <f t="shared" si="1"/>
        <v>0.70151239470851978</v>
      </c>
      <c r="M51" s="1">
        <f t="shared" si="3"/>
        <v>8.4244186276948074</v>
      </c>
      <c r="N51" s="27">
        <v>6.0000000000000001E-3</v>
      </c>
      <c r="O51" s="1">
        <f t="shared" si="2"/>
        <v>0.6</v>
      </c>
      <c r="P51" s="26">
        <f t="shared" si="4"/>
        <v>21.600000000000009</v>
      </c>
    </row>
    <row r="52" spans="1:16" x14ac:dyDescent="0.25">
      <c r="A52" s="7">
        <v>8.3333333333333339</v>
      </c>
      <c r="B52" s="23">
        <v>7.7506129131282844E-3</v>
      </c>
      <c r="C52" s="24">
        <v>0.77506129131282842</v>
      </c>
      <c r="D52" s="23"/>
      <c r="J52" s="1">
        <f t="shared" si="0"/>
        <v>8.3333333333333339</v>
      </c>
      <c r="K52" s="1">
        <v>0.70000000000000018</v>
      </c>
      <c r="L52" s="1">
        <f t="shared" si="1"/>
        <v>0.77506129131282842</v>
      </c>
      <c r="M52" s="1">
        <f t="shared" si="3"/>
        <v>9.1994799190076364</v>
      </c>
      <c r="N52" s="27">
        <v>6.0000000000000001E-3</v>
      </c>
      <c r="O52" s="1">
        <f t="shared" si="2"/>
        <v>0.6</v>
      </c>
      <c r="P52" s="26">
        <f t="shared" si="4"/>
        <v>22.20000000000001</v>
      </c>
    </row>
    <row r="53" spans="1:16" x14ac:dyDescent="0.25">
      <c r="A53" s="7">
        <v>8.5</v>
      </c>
      <c r="B53" s="23">
        <v>8.5356522241961125E-3</v>
      </c>
      <c r="C53" s="24">
        <v>0.85356522241961119</v>
      </c>
      <c r="D53" s="23"/>
      <c r="J53" s="1">
        <f t="shared" si="0"/>
        <v>8.5</v>
      </c>
      <c r="K53" s="1">
        <v>0.60000000000000053</v>
      </c>
      <c r="L53" s="1">
        <f t="shared" si="1"/>
        <v>0.8535652224196113</v>
      </c>
      <c r="M53" s="1">
        <f t="shared" si="3"/>
        <v>10.053045141427248</v>
      </c>
      <c r="N53" s="27">
        <v>6.0000000000000001E-3</v>
      </c>
      <c r="O53" s="1">
        <f t="shared" si="2"/>
        <v>0.6</v>
      </c>
      <c r="P53" s="26">
        <f t="shared" si="4"/>
        <v>22.800000000000011</v>
      </c>
    </row>
    <row r="54" spans="1:16" x14ac:dyDescent="0.25">
      <c r="A54" s="7">
        <v>8.6666666666666661</v>
      </c>
      <c r="B54" s="23">
        <v>9.3679825797966416E-3</v>
      </c>
      <c r="C54" s="24">
        <v>0.9367982579796641</v>
      </c>
      <c r="D54" s="23"/>
      <c r="J54" s="1">
        <f t="shared" si="0"/>
        <v>8.6666666666666661</v>
      </c>
      <c r="K54" s="1">
        <v>0.79999999999999893</v>
      </c>
      <c r="L54" s="1">
        <f t="shared" si="1"/>
        <v>0.93679825797966421</v>
      </c>
      <c r="M54" s="1">
        <f t="shared" si="3"/>
        <v>10.989843399406912</v>
      </c>
      <c r="N54" s="27">
        <v>6.0000000000000001E-3</v>
      </c>
      <c r="O54" s="1">
        <f t="shared" si="2"/>
        <v>0.6</v>
      </c>
      <c r="P54" s="26">
        <f t="shared" si="4"/>
        <v>23.400000000000013</v>
      </c>
    </row>
    <row r="55" spans="1:16" x14ac:dyDescent="0.25">
      <c r="A55" s="7">
        <v>8.8333333333333339</v>
      </c>
      <c r="B55" s="23">
        <v>1.0244392576663919E-2</v>
      </c>
      <c r="C55" s="24">
        <v>1.0244392576663921</v>
      </c>
      <c r="D55" s="23"/>
      <c r="J55" s="1">
        <f t="shared" si="0"/>
        <v>8.8333333333333339</v>
      </c>
      <c r="K55" s="1">
        <v>0.80000000000000071</v>
      </c>
      <c r="L55" s="1">
        <f t="shared" si="1"/>
        <v>1.0244392576663919</v>
      </c>
      <c r="M55" s="1">
        <f t="shared" si="3"/>
        <v>12.014282657073304</v>
      </c>
      <c r="N55" s="27">
        <v>6.0000000000000001E-3</v>
      </c>
      <c r="O55" s="1">
        <f t="shared" si="2"/>
        <v>0.6</v>
      </c>
      <c r="P55" s="26">
        <f t="shared" si="4"/>
        <v>24.000000000000014</v>
      </c>
    </row>
    <row r="56" spans="1:16" x14ac:dyDescent="0.25">
      <c r="A56" s="7">
        <v>9</v>
      </c>
      <c r="B56" s="23">
        <v>1.1160680707775593E-2</v>
      </c>
      <c r="C56" s="24">
        <v>1.1160680707775592</v>
      </c>
      <c r="D56" s="23"/>
      <c r="J56" s="1">
        <f t="shared" si="0"/>
        <v>9</v>
      </c>
      <c r="K56" s="1">
        <v>0.90000000000000036</v>
      </c>
      <c r="L56" s="1">
        <f t="shared" si="1"/>
        <v>1.1160680707775592</v>
      </c>
      <c r="M56" s="1">
        <f t="shared" si="3"/>
        <v>13.130350727850864</v>
      </c>
      <c r="N56" s="27">
        <v>6.0000000000000001E-3</v>
      </c>
      <c r="O56" s="1">
        <f t="shared" si="2"/>
        <v>0.6</v>
      </c>
      <c r="P56" s="26">
        <f t="shared" si="4"/>
        <v>24.600000000000016</v>
      </c>
    </row>
    <row r="57" spans="1:16" x14ac:dyDescent="0.25">
      <c r="A57" s="7">
        <v>9.1666666666666661</v>
      </c>
      <c r="B57" s="23">
        <v>1.2111637898084688E-2</v>
      </c>
      <c r="C57" s="24">
        <v>1.2111637898084688</v>
      </c>
      <c r="D57" s="23"/>
      <c r="J57" s="1">
        <f t="shared" si="0"/>
        <v>9.1666666666666661</v>
      </c>
      <c r="K57" s="1">
        <v>0.90000000000000036</v>
      </c>
      <c r="L57" s="1">
        <f t="shared" si="1"/>
        <v>1.2111637898084688</v>
      </c>
      <c r="M57" s="1">
        <f t="shared" si="3"/>
        <v>14.341514517659332</v>
      </c>
      <c r="N57" s="27">
        <v>6.0000000000000001E-3</v>
      </c>
      <c r="O57" s="1">
        <f t="shared" si="2"/>
        <v>0.6</v>
      </c>
      <c r="P57" s="26">
        <f t="shared" si="4"/>
        <v>25.200000000000017</v>
      </c>
    </row>
    <row r="58" spans="1:16" x14ac:dyDescent="0.25">
      <c r="A58" s="7">
        <v>9.3333333333333339</v>
      </c>
      <c r="B58" s="23">
        <v>1.3091053179016356E-2</v>
      </c>
      <c r="C58" s="24">
        <v>1.3091053179016356</v>
      </c>
      <c r="D58" s="23"/>
      <c r="J58" s="1">
        <f t="shared" si="0"/>
        <v>9.3333333333333339</v>
      </c>
      <c r="K58" s="1">
        <v>1.1999999999999993</v>
      </c>
      <c r="L58" s="1">
        <f t="shared" si="1"/>
        <v>1.3091053179016356</v>
      </c>
      <c r="M58" s="1">
        <f t="shared" si="3"/>
        <v>15.650619835560969</v>
      </c>
      <c r="N58" s="27">
        <v>7.0000000000000001E-3</v>
      </c>
      <c r="O58" s="1">
        <f t="shared" si="2"/>
        <v>0.70000000000000007</v>
      </c>
      <c r="P58" s="26">
        <f t="shared" si="4"/>
        <v>25.900000000000016</v>
      </c>
    </row>
    <row r="59" spans="1:16" x14ac:dyDescent="0.25">
      <c r="A59" s="7">
        <v>9.5</v>
      </c>
      <c r="B59" s="23">
        <v>1.4091744562840054E-2</v>
      </c>
      <c r="C59" s="24">
        <v>1.4091744562840054</v>
      </c>
      <c r="D59" s="23"/>
      <c r="J59" s="1">
        <f t="shared" si="0"/>
        <v>9.5</v>
      </c>
      <c r="K59" s="1">
        <v>1.1999999999999993</v>
      </c>
      <c r="L59" s="1">
        <f t="shared" si="1"/>
        <v>1.4091744562840054</v>
      </c>
      <c r="M59" s="1">
        <f t="shared" si="3"/>
        <v>17.059794291844973</v>
      </c>
      <c r="N59" s="27">
        <v>7.0000000000000001E-3</v>
      </c>
      <c r="O59" s="1">
        <f t="shared" si="2"/>
        <v>0.70000000000000007</v>
      </c>
      <c r="P59" s="26">
        <f t="shared" si="4"/>
        <v>26.600000000000016</v>
      </c>
    </row>
    <row r="60" spans="1:16" x14ac:dyDescent="0.25">
      <c r="A60" s="7">
        <v>9.6666666666666661</v>
      </c>
      <c r="B60" s="23">
        <v>1.510561650392862E-2</v>
      </c>
      <c r="C60" s="24">
        <v>1.5105616503928621</v>
      </c>
      <c r="D60" s="23"/>
      <c r="J60" s="1">
        <f t="shared" si="0"/>
        <v>9.6666666666666661</v>
      </c>
      <c r="K60" s="1">
        <v>1.4000000000000004</v>
      </c>
      <c r="L60" s="1">
        <f t="shared" si="1"/>
        <v>1.5105616503928621</v>
      </c>
      <c r="M60" s="1">
        <f t="shared" si="3"/>
        <v>18.570355942237835</v>
      </c>
      <c r="N60" s="27">
        <v>7.0000000000000001E-3</v>
      </c>
      <c r="O60" s="1">
        <f t="shared" si="2"/>
        <v>0.70000000000000007</v>
      </c>
      <c r="P60" s="26">
        <f t="shared" si="4"/>
        <v>27.300000000000015</v>
      </c>
    </row>
    <row r="61" spans="1:16" x14ac:dyDescent="0.25">
      <c r="A61" s="7">
        <v>9.8333333333333339</v>
      </c>
      <c r="B61" s="23">
        <v>1.612374454396838E-2</v>
      </c>
      <c r="C61" s="24">
        <v>1.6123744543968381</v>
      </c>
      <c r="D61" s="23"/>
      <c r="J61" s="1">
        <f t="shared" si="0"/>
        <v>9.8333333333333339</v>
      </c>
      <c r="K61" s="1">
        <v>1.5000000000000018</v>
      </c>
      <c r="L61" s="1">
        <f t="shared" si="1"/>
        <v>1.6123744543968379</v>
      </c>
      <c r="M61" s="1">
        <f t="shared" si="3"/>
        <v>20.182730396634675</v>
      </c>
      <c r="N61" s="27">
        <v>7.0000000000000001E-3</v>
      </c>
      <c r="O61" s="1">
        <f t="shared" si="2"/>
        <v>0.70000000000000007</v>
      </c>
      <c r="P61" s="26">
        <f t="shared" si="4"/>
        <v>28.000000000000014</v>
      </c>
    </row>
    <row r="62" spans="1:16" x14ac:dyDescent="0.25">
      <c r="A62" s="7">
        <v>10</v>
      </c>
      <c r="B62" s="23">
        <v>1.713648685695239E-2</v>
      </c>
      <c r="C62" s="24">
        <v>1.7136486856952391</v>
      </c>
      <c r="D62" s="23"/>
      <c r="J62" s="1">
        <f t="shared" si="0"/>
        <v>10</v>
      </c>
      <c r="K62" s="1">
        <v>1.6999999999999993</v>
      </c>
      <c r="L62" s="1">
        <f t="shared" si="1"/>
        <v>1.7136486856952391</v>
      </c>
      <c r="M62" s="1">
        <f t="shared" si="3"/>
        <v>21.896379082329915</v>
      </c>
      <c r="N62" s="27">
        <v>8.0000000000000002E-3</v>
      </c>
      <c r="O62" s="1">
        <f t="shared" si="2"/>
        <v>0.8</v>
      </c>
      <c r="P62" s="26">
        <f t="shared" si="4"/>
        <v>28.800000000000015</v>
      </c>
    </row>
    <row r="63" spans="1:16" x14ac:dyDescent="0.25">
      <c r="A63" s="7">
        <v>10.166666666666666</v>
      </c>
      <c r="B63" s="23">
        <v>1.8133621468404058E-2</v>
      </c>
      <c r="C63" s="24">
        <v>1.8133621468404058</v>
      </c>
      <c r="D63" s="23"/>
      <c r="J63" s="1">
        <f t="shared" si="0"/>
        <v>10.166666666666666</v>
      </c>
      <c r="K63" s="1">
        <v>1.8000000000000007</v>
      </c>
      <c r="L63" s="1">
        <f t="shared" si="1"/>
        <v>1.8133621468404058</v>
      </c>
      <c r="M63" s="1">
        <f t="shared" si="3"/>
        <v>23.709741229170319</v>
      </c>
      <c r="N63" s="27">
        <v>8.0000000000000002E-3</v>
      </c>
      <c r="O63" s="1">
        <f t="shared" si="2"/>
        <v>0.8</v>
      </c>
      <c r="P63" s="26">
        <f t="shared" si="4"/>
        <v>29.600000000000016</v>
      </c>
    </row>
    <row r="64" spans="1:16" x14ac:dyDescent="0.25">
      <c r="A64" s="7">
        <v>10.333333333333334</v>
      </c>
      <c r="B64" s="23">
        <v>1.9104506958322123E-2</v>
      </c>
      <c r="C64" s="24">
        <v>1.9104506958322123</v>
      </c>
      <c r="D64" s="23"/>
      <c r="J64" s="1">
        <f t="shared" si="0"/>
        <v>10.333333333333334</v>
      </c>
      <c r="K64" s="1">
        <v>2</v>
      </c>
      <c r="L64" s="1">
        <f t="shared" si="1"/>
        <v>1.9104506958322123</v>
      </c>
      <c r="M64" s="1">
        <f t="shared" si="3"/>
        <v>25.62019192500253</v>
      </c>
      <c r="N64" s="27">
        <v>8.9999999999999993E-3</v>
      </c>
      <c r="O64" s="1">
        <f t="shared" si="2"/>
        <v>0.89999999999999991</v>
      </c>
      <c r="P64" s="26">
        <f t="shared" si="4"/>
        <v>30.500000000000014</v>
      </c>
    </row>
    <row r="65" spans="1:16" x14ac:dyDescent="0.25">
      <c r="A65" s="7">
        <v>10.5</v>
      </c>
      <c r="B65" s="23">
        <v>2.0038263509307305E-2</v>
      </c>
      <c r="C65" s="24">
        <v>2.0038263509307304</v>
      </c>
      <c r="D65" s="23"/>
      <c r="J65" s="1">
        <f t="shared" si="0"/>
        <v>10.5</v>
      </c>
      <c r="K65" s="1">
        <v>2</v>
      </c>
      <c r="L65" s="1">
        <f t="shared" si="1"/>
        <v>2.0038263509307304</v>
      </c>
      <c r="M65" s="1">
        <f t="shared" si="3"/>
        <v>27.62401827593326</v>
      </c>
      <c r="N65" s="27">
        <v>8.9999999999999993E-3</v>
      </c>
      <c r="O65" s="1">
        <f t="shared" si="2"/>
        <v>0.89999999999999991</v>
      </c>
      <c r="P65" s="26">
        <f t="shared" si="4"/>
        <v>31.400000000000013</v>
      </c>
    </row>
    <row r="66" spans="1:16" x14ac:dyDescent="0.25">
      <c r="A66" s="7">
        <v>10.666666666666666</v>
      </c>
      <c r="B66" s="23">
        <v>2.0923970272762701E-2</v>
      </c>
      <c r="C66" s="24">
        <v>2.0923970272762697</v>
      </c>
      <c r="D66" s="23"/>
      <c r="J66" s="1">
        <f t="shared" ref="J66:J129" si="9">A66</f>
        <v>10.666666666666666</v>
      </c>
      <c r="K66" s="1">
        <v>2.3999999999999986</v>
      </c>
      <c r="L66" s="1">
        <f t="shared" si="1"/>
        <v>2.0923970272762702</v>
      </c>
      <c r="M66" s="1">
        <f t="shared" si="3"/>
        <v>29.71641530320953</v>
      </c>
      <c r="N66" s="27">
        <v>0.01</v>
      </c>
      <c r="O66" s="1">
        <f t="shared" si="2"/>
        <v>1</v>
      </c>
      <c r="P66" s="26">
        <f t="shared" si="4"/>
        <v>32.400000000000013</v>
      </c>
    </row>
    <row r="67" spans="1:16" x14ac:dyDescent="0.25">
      <c r="A67" s="7">
        <v>10.833333333333334</v>
      </c>
      <c r="B67" s="23">
        <v>2.1750874239405252E-2</v>
      </c>
      <c r="C67" s="24">
        <v>2.1750874239405253</v>
      </c>
      <c r="D67" s="23"/>
      <c r="J67" s="1">
        <f t="shared" si="9"/>
        <v>10.833333333333334</v>
      </c>
      <c r="K67" s="1">
        <v>2.6000000000000014</v>
      </c>
      <c r="L67" s="1">
        <f t="shared" ref="L67:L130" si="10">B67*100</f>
        <v>2.1750874239405253</v>
      </c>
      <c r="M67" s="1">
        <f t="shared" si="3"/>
        <v>31.891502727150055</v>
      </c>
      <c r="N67" s="27">
        <v>0.01</v>
      </c>
      <c r="O67" s="1">
        <f t="shared" ref="O67:O130" si="11">N67*100</f>
        <v>1</v>
      </c>
      <c r="P67" s="26">
        <f t="shared" si="4"/>
        <v>33.400000000000013</v>
      </c>
    </row>
    <row r="68" spans="1:16" x14ac:dyDescent="0.25">
      <c r="A68" s="7">
        <v>11</v>
      </c>
      <c r="B68" s="23">
        <v>2.2508605155686902E-2</v>
      </c>
      <c r="C68" s="24">
        <v>2.2508605155686903</v>
      </c>
      <c r="D68" s="23"/>
      <c r="J68" s="1">
        <f t="shared" si="9"/>
        <v>11</v>
      </c>
      <c r="K68" s="1">
        <v>2.7999999999999972</v>
      </c>
      <c r="L68" s="1">
        <f t="shared" si="10"/>
        <v>2.2508605155686903</v>
      </c>
      <c r="M68" s="1">
        <f t="shared" ref="M68:M131" si="12">M67+L68</f>
        <v>34.142363242718744</v>
      </c>
      <c r="N68" s="27">
        <v>1.0999999999999999E-2</v>
      </c>
      <c r="O68" s="1">
        <f t="shared" si="11"/>
        <v>1.0999999999999999</v>
      </c>
      <c r="P68" s="26">
        <f t="shared" ref="P68:P131" si="13">N68*100+P67</f>
        <v>34.500000000000014</v>
      </c>
    </row>
    <row r="69" spans="1:16" x14ac:dyDescent="0.25">
      <c r="A69" s="7">
        <v>11.166666666666666</v>
      </c>
      <c r="B69" s="23">
        <v>2.318739056059347E-2</v>
      </c>
      <c r="C69" s="24">
        <v>2.3187390560593468</v>
      </c>
      <c r="D69" s="23"/>
      <c r="J69" s="1">
        <f t="shared" si="9"/>
        <v>11.166666666666666</v>
      </c>
      <c r="K69" s="1">
        <v>2.8000000000000043</v>
      </c>
      <c r="L69" s="1">
        <f t="shared" si="10"/>
        <v>2.3187390560593468</v>
      </c>
      <c r="M69" s="1">
        <f t="shared" si="12"/>
        <v>36.461102298778094</v>
      </c>
      <c r="N69" s="27">
        <v>1.2999999999999999E-2</v>
      </c>
      <c r="O69" s="1">
        <f t="shared" si="11"/>
        <v>1.3</v>
      </c>
      <c r="P69" s="26">
        <f t="shared" si="13"/>
        <v>35.800000000000011</v>
      </c>
    </row>
    <row r="70" spans="1:16" x14ac:dyDescent="0.25">
      <c r="A70" s="7">
        <v>11.333333333333334</v>
      </c>
      <c r="B70" s="23">
        <v>2.3778264756427029E-2</v>
      </c>
      <c r="C70" s="24">
        <v>2.3778264756427028</v>
      </c>
      <c r="D70" s="23"/>
      <c r="J70" s="1">
        <f t="shared" si="9"/>
        <v>11.333333333333334</v>
      </c>
      <c r="K70" s="1">
        <v>3</v>
      </c>
      <c r="L70" s="1">
        <f t="shared" si="10"/>
        <v>2.3778264756427028</v>
      </c>
      <c r="M70" s="1">
        <f t="shared" si="12"/>
        <v>38.838928774420793</v>
      </c>
      <c r="N70" s="27">
        <v>1.4999999999999999E-2</v>
      </c>
      <c r="O70" s="1">
        <f t="shared" si="11"/>
        <v>1.5</v>
      </c>
      <c r="P70" s="26">
        <f t="shared" si="13"/>
        <v>37.300000000000011</v>
      </c>
    </row>
    <row r="71" spans="1:16" x14ac:dyDescent="0.25">
      <c r="A71" s="7">
        <v>11.5</v>
      </c>
      <c r="B71" s="23">
        <v>2.4273265492768481E-2</v>
      </c>
      <c r="C71" s="24">
        <v>2.4273265492768483</v>
      </c>
      <c r="D71" s="23"/>
      <c r="J71" s="1">
        <f t="shared" si="9"/>
        <v>11.5</v>
      </c>
      <c r="K71" s="1">
        <v>3.5999999999999943</v>
      </c>
      <c r="L71" s="1">
        <f t="shared" si="10"/>
        <v>2.4273265492768479</v>
      </c>
      <c r="M71" s="1">
        <f t="shared" si="12"/>
        <v>41.266255323697642</v>
      </c>
      <c r="N71" s="27">
        <v>1.7999999999999999E-2</v>
      </c>
      <c r="O71" s="1">
        <f t="shared" si="11"/>
        <v>1.7999999999999998</v>
      </c>
      <c r="P71" s="26">
        <f t="shared" si="13"/>
        <v>39.100000000000009</v>
      </c>
    </row>
    <row r="72" spans="1:16" x14ac:dyDescent="0.25">
      <c r="A72" s="7">
        <v>11.666666666666666</v>
      </c>
      <c r="B72" s="23">
        <v>2.4665612345038574E-2</v>
      </c>
      <c r="C72" s="24">
        <v>2.4665612345038577</v>
      </c>
      <c r="D72" s="23"/>
      <c r="J72" s="1">
        <f t="shared" si="9"/>
        <v>11.666666666666666</v>
      </c>
      <c r="K72" s="1">
        <v>3.5</v>
      </c>
      <c r="L72" s="1">
        <f t="shared" si="10"/>
        <v>2.4665612345038572</v>
      </c>
      <c r="M72" s="1">
        <f t="shared" si="12"/>
        <v>43.732816558201499</v>
      </c>
      <c r="N72" s="27">
        <v>2.3E-2</v>
      </c>
      <c r="O72" s="1">
        <f t="shared" si="11"/>
        <v>2.2999999999999998</v>
      </c>
      <c r="P72" s="26">
        <f t="shared" si="13"/>
        <v>41.400000000000006</v>
      </c>
    </row>
    <row r="73" spans="1:16" x14ac:dyDescent="0.25">
      <c r="A73" s="7">
        <v>11.833333333333334</v>
      </c>
      <c r="B73" s="23">
        <v>2.4949861207178691E-2</v>
      </c>
      <c r="C73" s="24">
        <v>2.494986120717869</v>
      </c>
      <c r="D73" s="23"/>
      <c r="J73" s="1">
        <f t="shared" si="9"/>
        <v>11.833333333333334</v>
      </c>
      <c r="K73" s="1">
        <v>4.6000000000000014</v>
      </c>
      <c r="L73" s="1">
        <f t="shared" si="10"/>
        <v>2.494986120717869</v>
      </c>
      <c r="M73" s="1">
        <f t="shared" si="12"/>
        <v>46.227802678919367</v>
      </c>
      <c r="N73" s="27">
        <v>3.4000000000000002E-2</v>
      </c>
      <c r="O73" s="1">
        <f t="shared" si="11"/>
        <v>3.4000000000000004</v>
      </c>
      <c r="P73" s="26">
        <f t="shared" si="13"/>
        <v>44.800000000000004</v>
      </c>
    </row>
    <row r="74" spans="1:16" x14ac:dyDescent="0.25">
      <c r="A74" s="7">
        <v>12</v>
      </c>
      <c r="B74" s="23">
        <v>2.5122029979954368E-2</v>
      </c>
      <c r="C74" s="24">
        <v>2.5122029979954368</v>
      </c>
      <c r="D74" s="23"/>
      <c r="J74" s="1">
        <f t="shared" si="9"/>
        <v>12</v>
      </c>
      <c r="K74" s="1">
        <v>4.3000000000000043</v>
      </c>
      <c r="L74" s="1">
        <f t="shared" si="10"/>
        <v>2.5122029979954368</v>
      </c>
      <c r="M74" s="1">
        <f t="shared" si="12"/>
        <v>48.740005676914805</v>
      </c>
      <c r="N74" s="27">
        <v>7.3999999999999996E-2</v>
      </c>
      <c r="O74" s="1">
        <f t="shared" si="11"/>
        <v>7.3999999999999995</v>
      </c>
      <c r="P74" s="26">
        <f t="shared" si="13"/>
        <v>52.2</v>
      </c>
    </row>
    <row r="75" spans="1:16" x14ac:dyDescent="0.25">
      <c r="A75" s="7">
        <v>12.166666666666666</v>
      </c>
      <c r="B75" s="23">
        <v>2.5179691399294542E-2</v>
      </c>
      <c r="C75" s="24">
        <v>2.5179691399294541</v>
      </c>
      <c r="D75" s="23"/>
      <c r="J75" s="1">
        <f t="shared" si="9"/>
        <v>12.166666666666666</v>
      </c>
      <c r="K75" s="1">
        <v>3.7999999999999972</v>
      </c>
      <c r="L75" s="1">
        <f t="shared" si="10"/>
        <v>2.5179691399294541</v>
      </c>
      <c r="M75" s="1">
        <f t="shared" si="12"/>
        <v>51.257974816844261</v>
      </c>
      <c r="N75" s="27">
        <v>4.5999999999999999E-2</v>
      </c>
      <c r="O75" s="1">
        <f t="shared" si="11"/>
        <v>4.5999999999999996</v>
      </c>
      <c r="P75" s="26">
        <f t="shared" si="13"/>
        <v>56.800000000000004</v>
      </c>
    </row>
    <row r="76" spans="1:16" x14ac:dyDescent="0.25">
      <c r="A76" s="7">
        <v>12.333333333333334</v>
      </c>
      <c r="B76" s="23">
        <v>2.5125684975840067E-2</v>
      </c>
      <c r="C76" s="24">
        <v>2.5125684975840068</v>
      </c>
      <c r="D76" s="23"/>
      <c r="J76" s="1">
        <f t="shared" si="9"/>
        <v>12.333333333333334</v>
      </c>
      <c r="K76" s="1">
        <v>3.6000000000000014</v>
      </c>
      <c r="L76" s="1">
        <f t="shared" si="10"/>
        <v>2.5125684975840068</v>
      </c>
      <c r="M76" s="1">
        <f t="shared" si="12"/>
        <v>53.770543314428267</v>
      </c>
      <c r="N76" s="27">
        <v>2.7E-2</v>
      </c>
      <c r="O76" s="1">
        <f t="shared" si="11"/>
        <v>2.7</v>
      </c>
      <c r="P76" s="26">
        <f t="shared" si="13"/>
        <v>59.500000000000007</v>
      </c>
    </row>
    <row r="77" spans="1:16" x14ac:dyDescent="0.25">
      <c r="A77" s="7">
        <v>12.5</v>
      </c>
      <c r="B77" s="23">
        <v>2.4957120092693841E-2</v>
      </c>
      <c r="C77" s="24">
        <v>2.4957120092693841</v>
      </c>
      <c r="D77" s="23"/>
      <c r="J77" s="1">
        <f t="shared" si="9"/>
        <v>12.5</v>
      </c>
      <c r="K77" s="1">
        <v>2.9999999999999929</v>
      </c>
      <c r="L77" s="1">
        <f t="shared" si="10"/>
        <v>2.4957120092693841</v>
      </c>
      <c r="M77" s="1">
        <f t="shared" si="12"/>
        <v>56.266255323697649</v>
      </c>
      <c r="N77" s="27">
        <v>0.02</v>
      </c>
      <c r="O77" s="1">
        <f t="shared" si="11"/>
        <v>2</v>
      </c>
      <c r="P77" s="26">
        <f t="shared" si="13"/>
        <v>61.500000000000007</v>
      </c>
    </row>
    <row r="78" spans="1:16" x14ac:dyDescent="0.25">
      <c r="A78" s="7">
        <v>12.666666666666666</v>
      </c>
      <c r="B78" s="23">
        <v>2.467637355878061E-2</v>
      </c>
      <c r="C78" s="24">
        <v>2.4676373558780611</v>
      </c>
      <c r="D78" s="23"/>
      <c r="J78" s="1">
        <f t="shared" si="9"/>
        <v>12.666666666666666</v>
      </c>
      <c r="K78" s="1">
        <v>3</v>
      </c>
      <c r="L78" s="1">
        <f t="shared" si="10"/>
        <v>2.4676373558780611</v>
      </c>
      <c r="M78" s="1">
        <f t="shared" si="12"/>
        <v>58.73389267957571</v>
      </c>
      <c r="N78" s="27">
        <v>1.6E-2</v>
      </c>
      <c r="O78" s="1">
        <f t="shared" si="11"/>
        <v>1.6</v>
      </c>
      <c r="P78" s="26">
        <f t="shared" si="13"/>
        <v>63.100000000000009</v>
      </c>
    </row>
    <row r="79" spans="1:16" x14ac:dyDescent="0.25">
      <c r="A79" s="7">
        <v>12.833333333333334</v>
      </c>
      <c r="B79" s="23">
        <v>2.428737939284956E-2</v>
      </c>
      <c r="C79" s="24">
        <v>2.428737939284956</v>
      </c>
      <c r="D79" s="23"/>
      <c r="J79" s="1">
        <f t="shared" si="9"/>
        <v>12.833333333333334</v>
      </c>
      <c r="K79" s="1">
        <v>2.7000000000000028</v>
      </c>
      <c r="L79" s="1">
        <f t="shared" si="10"/>
        <v>2.428737939284956</v>
      </c>
      <c r="M79" s="1">
        <f t="shared" si="12"/>
        <v>61.162630618860668</v>
      </c>
      <c r="N79" s="27">
        <v>1.4E-2</v>
      </c>
      <c r="O79" s="1">
        <f t="shared" si="11"/>
        <v>1.4000000000000001</v>
      </c>
      <c r="P79" s="26">
        <f t="shared" si="13"/>
        <v>64.500000000000014</v>
      </c>
    </row>
    <row r="80" spans="1:16" x14ac:dyDescent="0.25">
      <c r="A80" s="7">
        <v>13</v>
      </c>
      <c r="B80" s="23">
        <v>2.3795537092861606E-2</v>
      </c>
      <c r="C80" s="24">
        <v>2.3795537092861605</v>
      </c>
      <c r="D80" s="23"/>
      <c r="J80" s="1">
        <f t="shared" si="9"/>
        <v>13</v>
      </c>
      <c r="K80" s="1">
        <v>2.7000000000000028</v>
      </c>
      <c r="L80" s="1">
        <f t="shared" si="10"/>
        <v>2.3795537092861605</v>
      </c>
      <c r="M80" s="1">
        <f t="shared" si="12"/>
        <v>63.542184328146831</v>
      </c>
      <c r="N80" s="27">
        <v>1.2E-2</v>
      </c>
      <c r="O80" s="1">
        <f t="shared" si="11"/>
        <v>1.2</v>
      </c>
      <c r="P80" s="26">
        <f t="shared" si="13"/>
        <v>65.700000000000017</v>
      </c>
    </row>
    <row r="81" spans="1:16" x14ac:dyDescent="0.25">
      <c r="A81" s="7">
        <v>13.166666666666666</v>
      </c>
      <c r="B81" s="23">
        <v>2.3207586932744502E-2</v>
      </c>
      <c r="C81" s="24">
        <v>2.3207586932744499</v>
      </c>
      <c r="D81" s="23"/>
      <c r="J81" s="1">
        <f t="shared" si="9"/>
        <v>13.166666666666666</v>
      </c>
      <c r="K81" s="1">
        <v>2.2000000000000028</v>
      </c>
      <c r="L81" s="1">
        <f t="shared" si="10"/>
        <v>2.3207586932744504</v>
      </c>
      <c r="M81" s="1">
        <f t="shared" si="12"/>
        <v>65.862943021421287</v>
      </c>
      <c r="N81" s="27">
        <v>1.0999999999999999E-2</v>
      </c>
      <c r="O81" s="1">
        <f t="shared" si="11"/>
        <v>1.0999999999999999</v>
      </c>
      <c r="P81" s="26">
        <f t="shared" si="13"/>
        <v>66.800000000000011</v>
      </c>
    </row>
    <row r="82" spans="1:16" x14ac:dyDescent="0.25">
      <c r="A82" s="7">
        <v>13.333333333333334</v>
      </c>
      <c r="B82" s="23">
        <v>2.25314563117851E-2</v>
      </c>
      <c r="C82" s="24">
        <v>2.2531456311785099</v>
      </c>
      <c r="D82" s="23"/>
      <c r="J82" s="1">
        <f t="shared" si="9"/>
        <v>13.333333333333334</v>
      </c>
      <c r="K82" s="1">
        <v>2.0999999999999943</v>
      </c>
      <c r="L82" s="1">
        <f t="shared" si="10"/>
        <v>2.2531456311785099</v>
      </c>
      <c r="M82" s="1">
        <f t="shared" si="12"/>
        <v>68.1160886525998</v>
      </c>
      <c r="N82" s="27">
        <v>0.01</v>
      </c>
      <c r="O82" s="1">
        <f t="shared" si="11"/>
        <v>1</v>
      </c>
      <c r="P82" s="26">
        <f t="shared" si="13"/>
        <v>67.800000000000011</v>
      </c>
    </row>
    <row r="83" spans="1:16" x14ac:dyDescent="0.25">
      <c r="A83" s="7">
        <v>13.5</v>
      </c>
      <c r="B83" s="23">
        <v>2.1776082050725672E-2</v>
      </c>
      <c r="C83" s="24">
        <v>2.1776082050725671</v>
      </c>
      <c r="D83" s="23"/>
      <c r="J83" s="1">
        <f t="shared" si="9"/>
        <v>13.5</v>
      </c>
      <c r="K83" s="1">
        <v>2</v>
      </c>
      <c r="L83" s="1">
        <f t="shared" si="10"/>
        <v>2.1776082050725671</v>
      </c>
      <c r="M83" s="1">
        <f t="shared" si="12"/>
        <v>70.293696857672373</v>
      </c>
      <c r="N83" s="27">
        <v>8.9999999999999993E-3</v>
      </c>
      <c r="O83" s="1">
        <f t="shared" si="11"/>
        <v>0.89999999999999991</v>
      </c>
      <c r="P83" s="26">
        <f t="shared" si="13"/>
        <v>68.700000000000017</v>
      </c>
    </row>
    <row r="84" spans="1:16" x14ac:dyDescent="0.25">
      <c r="A84" s="7">
        <v>13.666666666666666</v>
      </c>
      <c r="B84" s="23">
        <v>2.0951214197397774E-2</v>
      </c>
      <c r="C84" s="24">
        <v>2.0951214197397774</v>
      </c>
      <c r="D84" s="23"/>
      <c r="J84" s="1">
        <f t="shared" si="9"/>
        <v>13.666666666666666</v>
      </c>
      <c r="K84" s="1">
        <v>1.7999999999999972</v>
      </c>
      <c r="L84" s="1">
        <f t="shared" si="10"/>
        <v>2.0951214197397774</v>
      </c>
      <c r="M84" s="1">
        <f t="shared" si="12"/>
        <v>72.388818277412156</v>
      </c>
      <c r="N84" s="27">
        <v>8.9999999999999993E-3</v>
      </c>
      <c r="O84" s="1">
        <f t="shared" si="11"/>
        <v>0.89999999999999991</v>
      </c>
      <c r="P84" s="26">
        <f t="shared" si="13"/>
        <v>69.600000000000023</v>
      </c>
    </row>
    <row r="85" spans="1:16" x14ac:dyDescent="0.25">
      <c r="A85" s="7">
        <v>13.833333333333334</v>
      </c>
      <c r="B85" s="23">
        <v>2.0067207350178605E-2</v>
      </c>
      <c r="C85" s="24">
        <v>2.0067207350178604</v>
      </c>
      <c r="D85" s="23"/>
      <c r="J85" s="1">
        <f t="shared" si="9"/>
        <v>13.833333333333334</v>
      </c>
      <c r="K85" s="1">
        <v>1.8000000000000114</v>
      </c>
      <c r="L85" s="1">
        <f t="shared" si="10"/>
        <v>2.0067207350178604</v>
      </c>
      <c r="M85" s="1">
        <f t="shared" si="12"/>
        <v>74.395539012430021</v>
      </c>
      <c r="N85" s="27">
        <v>8.0000000000000002E-3</v>
      </c>
      <c r="O85" s="1">
        <f t="shared" si="11"/>
        <v>0.8</v>
      </c>
      <c r="P85" s="26">
        <f t="shared" si="13"/>
        <v>70.40000000000002</v>
      </c>
    </row>
    <row r="86" spans="1:16" x14ac:dyDescent="0.25">
      <c r="A86" s="7">
        <v>14</v>
      </c>
      <c r="B86" s="23">
        <v>1.9134805717331654E-2</v>
      </c>
      <c r="C86" s="24">
        <v>1.9134805717331655</v>
      </c>
      <c r="D86" s="23"/>
      <c r="J86" s="1">
        <f t="shared" si="9"/>
        <v>14</v>
      </c>
      <c r="K86" s="1">
        <v>1.3999999999999915</v>
      </c>
      <c r="L86" s="1">
        <f t="shared" si="10"/>
        <v>1.9134805717331653</v>
      </c>
      <c r="M86" s="1">
        <f t="shared" si="12"/>
        <v>76.309019584163181</v>
      </c>
      <c r="N86" s="27">
        <v>8.0000000000000002E-3</v>
      </c>
      <c r="O86" s="1">
        <f t="shared" si="11"/>
        <v>0.8</v>
      </c>
      <c r="P86" s="26">
        <f t="shared" si="13"/>
        <v>71.200000000000017</v>
      </c>
    </row>
    <row r="87" spans="1:16" x14ac:dyDescent="0.25">
      <c r="A87" s="7">
        <v>14.166666666666666</v>
      </c>
      <c r="B87" s="23">
        <v>1.8164928103291962E-2</v>
      </c>
      <c r="C87" s="24">
        <v>1.8164928103291962</v>
      </c>
      <c r="D87" s="23"/>
      <c r="J87" s="1">
        <f t="shared" si="9"/>
        <v>14.166666666666666</v>
      </c>
      <c r="K87" s="1">
        <v>1.4000000000000057</v>
      </c>
      <c r="L87" s="1">
        <f t="shared" si="10"/>
        <v>1.8164928103291962</v>
      </c>
      <c r="M87" s="1">
        <f t="shared" si="12"/>
        <v>78.125512394492375</v>
      </c>
      <c r="N87" s="27">
        <v>8.0000000000000002E-3</v>
      </c>
      <c r="O87" s="1">
        <f t="shared" si="11"/>
        <v>0.8</v>
      </c>
      <c r="P87" s="26">
        <f t="shared" si="13"/>
        <v>72.000000000000014</v>
      </c>
    </row>
    <row r="88" spans="1:16" x14ac:dyDescent="0.25">
      <c r="A88" s="7">
        <v>14.333333333333334</v>
      </c>
      <c r="B88" s="23">
        <v>1.7168458759018075E-2</v>
      </c>
      <c r="C88" s="24">
        <v>1.7168458759018075</v>
      </c>
      <c r="D88" s="23"/>
      <c r="J88" s="1">
        <f t="shared" si="9"/>
        <v>14.333333333333334</v>
      </c>
      <c r="K88" s="1">
        <v>1.2000000000000028</v>
      </c>
      <c r="L88" s="1">
        <f t="shared" si="10"/>
        <v>1.7168458759018075</v>
      </c>
      <c r="M88" s="1">
        <f t="shared" si="12"/>
        <v>79.842358270394186</v>
      </c>
      <c r="N88" s="27">
        <v>7.0000000000000001E-3</v>
      </c>
      <c r="O88" s="1">
        <f t="shared" si="11"/>
        <v>0.70000000000000007</v>
      </c>
      <c r="P88" s="26">
        <f t="shared" si="13"/>
        <v>72.700000000000017</v>
      </c>
    </row>
    <row r="89" spans="1:16" x14ac:dyDescent="0.25">
      <c r="A89" s="7">
        <v>14.5</v>
      </c>
      <c r="B89" s="23">
        <v>1.6156049572544798E-2</v>
      </c>
      <c r="C89" s="24">
        <v>1.6156049572544799</v>
      </c>
      <c r="D89" s="23"/>
      <c r="J89" s="1">
        <f t="shared" si="9"/>
        <v>14.5</v>
      </c>
      <c r="K89" s="1">
        <v>1.1999999999999886</v>
      </c>
      <c r="L89" s="1">
        <f t="shared" si="10"/>
        <v>1.6156049572544799</v>
      </c>
      <c r="M89" s="1">
        <f t="shared" si="12"/>
        <v>81.457963227648662</v>
      </c>
      <c r="N89" s="27">
        <v>7.0000000000000001E-3</v>
      </c>
      <c r="O89" s="1">
        <f t="shared" si="11"/>
        <v>0.70000000000000007</v>
      </c>
      <c r="P89" s="26">
        <f t="shared" si="13"/>
        <v>73.40000000000002</v>
      </c>
    </row>
    <row r="90" spans="1:16" x14ac:dyDescent="0.25">
      <c r="A90" s="7">
        <v>14.666666666666666</v>
      </c>
      <c r="B90" s="23">
        <v>1.5137938436347876E-2</v>
      </c>
      <c r="C90" s="24">
        <v>1.5137938436347875</v>
      </c>
      <c r="D90" s="23"/>
      <c r="J90" s="1">
        <f t="shared" si="9"/>
        <v>14.666666666666666</v>
      </c>
      <c r="K90" s="1">
        <v>0.90000000000000568</v>
      </c>
      <c r="L90" s="1">
        <f t="shared" si="10"/>
        <v>1.5137938436347875</v>
      </c>
      <c r="M90" s="1">
        <f t="shared" si="12"/>
        <v>82.971757071283449</v>
      </c>
      <c r="N90" s="27">
        <v>7.0000000000000001E-3</v>
      </c>
      <c r="O90" s="1">
        <f t="shared" si="11"/>
        <v>0.70000000000000007</v>
      </c>
      <c r="P90" s="26">
        <f t="shared" si="13"/>
        <v>74.100000000000023</v>
      </c>
    </row>
    <row r="91" spans="1:16" x14ac:dyDescent="0.25">
      <c r="A91" s="7">
        <v>14.833333333333334</v>
      </c>
      <c r="B91" s="23">
        <v>1.4123787845383458E-2</v>
      </c>
      <c r="C91" s="24">
        <v>1.4123787845383458</v>
      </c>
      <c r="D91" s="23"/>
      <c r="J91" s="1">
        <f t="shared" si="9"/>
        <v>14.833333333333334</v>
      </c>
      <c r="K91" s="1">
        <v>0.90000000000000568</v>
      </c>
      <c r="L91" s="1">
        <f t="shared" si="10"/>
        <v>1.4123787845383458</v>
      </c>
      <c r="M91" s="1">
        <f t="shared" si="12"/>
        <v>84.384135855821796</v>
      </c>
      <c r="N91" s="27">
        <v>7.0000000000000001E-3</v>
      </c>
      <c r="O91" s="1">
        <f t="shared" si="11"/>
        <v>0.70000000000000007</v>
      </c>
      <c r="P91" s="26">
        <f t="shared" si="13"/>
        <v>74.800000000000026</v>
      </c>
    </row>
    <row r="92" spans="1:16" x14ac:dyDescent="0.25">
      <c r="A92" s="7">
        <v>15</v>
      </c>
      <c r="B92" s="23">
        <v>1.3122546893683092E-2</v>
      </c>
      <c r="C92" s="24">
        <v>1.3122546893683091</v>
      </c>
      <c r="D92" s="23"/>
      <c r="J92" s="1">
        <f t="shared" si="9"/>
        <v>15</v>
      </c>
      <c r="K92" s="1">
        <v>0.89999999999999147</v>
      </c>
      <c r="L92" s="1">
        <f t="shared" si="10"/>
        <v>1.3122546893683091</v>
      </c>
      <c r="M92" s="1">
        <f t="shared" si="12"/>
        <v>85.696390545190098</v>
      </c>
      <c r="N92" s="27">
        <v>6.0000000000000001E-3</v>
      </c>
      <c r="O92" s="1">
        <f t="shared" si="11"/>
        <v>0.6</v>
      </c>
      <c r="P92" s="26">
        <f t="shared" si="13"/>
        <v>75.40000000000002</v>
      </c>
    </row>
    <row r="93" spans="1:16" x14ac:dyDescent="0.25">
      <c r="A93" s="7">
        <v>15.166666666666666</v>
      </c>
      <c r="B93" s="23">
        <v>1.2142338890579732E-2</v>
      </c>
      <c r="C93" s="24">
        <v>1.2142338890579734</v>
      </c>
      <c r="D93" s="23"/>
      <c r="J93" s="1">
        <f t="shared" si="9"/>
        <v>15.166666666666666</v>
      </c>
      <c r="K93" s="1">
        <v>0.70000000000000284</v>
      </c>
      <c r="L93" s="1">
        <f t="shared" si="10"/>
        <v>1.2142338890579731</v>
      </c>
      <c r="M93" s="1">
        <f t="shared" si="12"/>
        <v>86.910624434248078</v>
      </c>
      <c r="N93" s="27">
        <v>6.0000000000000001E-3</v>
      </c>
      <c r="O93" s="1">
        <f t="shared" si="11"/>
        <v>0.6</v>
      </c>
      <c r="P93" s="26">
        <f t="shared" si="13"/>
        <v>76.000000000000014</v>
      </c>
    </row>
    <row r="94" spans="1:16" x14ac:dyDescent="0.25">
      <c r="A94" s="7">
        <v>15.333333333333334</v>
      </c>
      <c r="B94" s="23">
        <v>1.1190375852580902E-2</v>
      </c>
      <c r="C94" s="24">
        <v>1.1190375852580903</v>
      </c>
      <c r="D94" s="23"/>
      <c r="J94" s="1">
        <f t="shared" si="9"/>
        <v>15.333333333333334</v>
      </c>
      <c r="K94" s="1">
        <v>0.70000000000000284</v>
      </c>
      <c r="L94" s="1">
        <f t="shared" si="10"/>
        <v>1.1190375852580903</v>
      </c>
      <c r="M94" s="1">
        <f t="shared" si="12"/>
        <v>88.029662019506162</v>
      </c>
      <c r="N94" s="27">
        <v>6.0000000000000001E-3</v>
      </c>
      <c r="O94" s="1">
        <f t="shared" si="11"/>
        <v>0.6</v>
      </c>
      <c r="P94" s="26">
        <f t="shared" si="13"/>
        <v>76.600000000000009</v>
      </c>
    </row>
    <row r="95" spans="1:16" x14ac:dyDescent="0.25">
      <c r="A95" s="7">
        <v>15.5</v>
      </c>
      <c r="B95" s="23">
        <v>1.0272900184183056E-2</v>
      </c>
      <c r="C95" s="24">
        <v>1.0272900184183056</v>
      </c>
      <c r="D95" s="23"/>
      <c r="J95" s="1">
        <f t="shared" si="9"/>
        <v>15.5</v>
      </c>
      <c r="K95" s="1">
        <v>0.70000000000000284</v>
      </c>
      <c r="L95" s="1">
        <f t="shared" si="10"/>
        <v>1.0272900184183056</v>
      </c>
      <c r="M95" s="1">
        <f t="shared" si="12"/>
        <v>89.056952037924461</v>
      </c>
      <c r="N95" s="27">
        <v>6.0000000000000001E-3</v>
      </c>
      <c r="O95" s="1">
        <f t="shared" si="11"/>
        <v>0.6</v>
      </c>
      <c r="P95" s="26">
        <f t="shared" si="13"/>
        <v>77.2</v>
      </c>
    </row>
    <row r="96" spans="1:16" x14ac:dyDescent="0.25">
      <c r="A96" s="7">
        <v>15.666666666666666</v>
      </c>
      <c r="B96" s="23">
        <v>9.3951529772681001E-3</v>
      </c>
      <c r="C96" s="24">
        <v>0.93951529772681008</v>
      </c>
      <c r="D96" s="23"/>
      <c r="J96" s="1">
        <f t="shared" si="9"/>
        <v>15.666666666666666</v>
      </c>
      <c r="K96" s="1">
        <v>0.5</v>
      </c>
      <c r="L96" s="1">
        <f t="shared" si="10"/>
        <v>0.93951529772680997</v>
      </c>
      <c r="M96" s="1">
        <f t="shared" si="12"/>
        <v>89.996467335651275</v>
      </c>
      <c r="N96" s="27">
        <v>6.0000000000000001E-3</v>
      </c>
      <c r="O96" s="1">
        <f t="shared" si="11"/>
        <v>0.6</v>
      </c>
      <c r="P96" s="26">
        <f t="shared" si="13"/>
        <v>77.8</v>
      </c>
    </row>
    <row r="97" spans="1:16" x14ac:dyDescent="0.25">
      <c r="A97" s="7">
        <v>15.833333333333334</v>
      </c>
      <c r="B97" s="23">
        <v>8.5613675654632355E-3</v>
      </c>
      <c r="C97" s="24">
        <v>0.8561367565463236</v>
      </c>
      <c r="D97" s="23"/>
      <c r="J97" s="1">
        <f t="shared" si="9"/>
        <v>15.833333333333334</v>
      </c>
      <c r="K97" s="1">
        <v>0.59999999999999432</v>
      </c>
      <c r="L97" s="1">
        <f t="shared" si="10"/>
        <v>0.8561367565463236</v>
      </c>
      <c r="M97" s="1">
        <f t="shared" si="12"/>
        <v>90.852604092197595</v>
      </c>
      <c r="N97" s="27">
        <v>6.0000000000000001E-3</v>
      </c>
      <c r="O97" s="1">
        <f t="shared" si="11"/>
        <v>0.6</v>
      </c>
      <c r="P97" s="26">
        <f t="shared" si="13"/>
        <v>78.399999999999991</v>
      </c>
    </row>
    <row r="98" spans="1:16" x14ac:dyDescent="0.25">
      <c r="A98" s="7">
        <v>16</v>
      </c>
      <c r="B98" s="23">
        <v>7.7747862917636667E-3</v>
      </c>
      <c r="C98" s="24">
        <v>0.77747862917636668</v>
      </c>
      <c r="D98" s="23"/>
      <c r="J98" s="1">
        <f t="shared" si="9"/>
        <v>16</v>
      </c>
      <c r="K98" s="1">
        <v>0.5</v>
      </c>
      <c r="L98" s="1">
        <f t="shared" si="10"/>
        <v>0.77747862917636668</v>
      </c>
      <c r="M98" s="1">
        <f t="shared" si="12"/>
        <v>91.630082721373967</v>
      </c>
      <c r="N98" s="27">
        <v>6.0000000000000001E-3</v>
      </c>
      <c r="O98" s="1">
        <f t="shared" si="11"/>
        <v>0.6</v>
      </c>
      <c r="P98" s="26">
        <f t="shared" si="13"/>
        <v>78.999999999999986</v>
      </c>
    </row>
    <row r="99" spans="1:16" x14ac:dyDescent="0.25">
      <c r="A99" s="7">
        <v>16.166666666666668</v>
      </c>
      <c r="B99" s="23">
        <v>7.0376979023607294E-3</v>
      </c>
      <c r="C99" s="24">
        <v>0.70376979023607289</v>
      </c>
      <c r="D99" s="23"/>
      <c r="J99" s="1">
        <f t="shared" si="9"/>
        <v>16.166666666666668</v>
      </c>
      <c r="K99" s="1">
        <v>0.40000000000000568</v>
      </c>
      <c r="L99" s="1">
        <f t="shared" si="10"/>
        <v>0.70376979023607289</v>
      </c>
      <c r="M99" s="1">
        <f t="shared" si="12"/>
        <v>92.333852511610033</v>
      </c>
      <c r="N99" s="27">
        <v>5.0000000000000001E-3</v>
      </c>
      <c r="O99" s="1">
        <f t="shared" si="11"/>
        <v>0.5</v>
      </c>
      <c r="P99" s="26">
        <f t="shared" si="13"/>
        <v>79.499999999999986</v>
      </c>
    </row>
    <row r="100" spans="1:16" x14ac:dyDescent="0.25">
      <c r="A100" s="7">
        <v>16.333333333333332</v>
      </c>
      <c r="B100" s="23">
        <v>6.3514925770511224E-3</v>
      </c>
      <c r="C100" s="24">
        <v>0.63514925770511221</v>
      </c>
      <c r="D100" s="23"/>
      <c r="J100" s="1">
        <f t="shared" si="9"/>
        <v>16.333333333333332</v>
      </c>
      <c r="K100" s="1">
        <v>0.39999999999999147</v>
      </c>
      <c r="L100" s="1">
        <f t="shared" si="10"/>
        <v>0.63514925770511221</v>
      </c>
      <c r="M100" s="1">
        <f t="shared" si="12"/>
        <v>92.969001769315142</v>
      </c>
      <c r="N100" s="27">
        <v>5.0000000000000001E-3</v>
      </c>
      <c r="O100" s="1">
        <f t="shared" si="11"/>
        <v>0.5</v>
      </c>
      <c r="P100" s="26">
        <f t="shared" si="13"/>
        <v>79.999999999999986</v>
      </c>
    </row>
    <row r="101" spans="1:16" x14ac:dyDescent="0.25">
      <c r="A101" s="7">
        <v>16.5</v>
      </c>
      <c r="B101" s="23">
        <v>5.716731349583646E-3</v>
      </c>
      <c r="C101" s="24">
        <v>0.57167313495836458</v>
      </c>
      <c r="D101" s="23"/>
      <c r="J101" s="1">
        <f t="shared" si="9"/>
        <v>16.5</v>
      </c>
      <c r="K101" s="1">
        <v>0.40000000000000568</v>
      </c>
      <c r="L101" s="1">
        <f t="shared" si="10"/>
        <v>0.57167313495836458</v>
      </c>
      <c r="M101" s="1">
        <f t="shared" si="12"/>
        <v>93.540674904273502</v>
      </c>
      <c r="N101" s="27">
        <v>5.0000000000000001E-3</v>
      </c>
      <c r="O101" s="1">
        <f t="shared" si="11"/>
        <v>0.5</v>
      </c>
      <c r="P101" s="26">
        <f t="shared" si="13"/>
        <v>80.499999999999986</v>
      </c>
    </row>
    <row r="102" spans="1:16" x14ac:dyDescent="0.25">
      <c r="A102" s="7">
        <v>16.666666666666668</v>
      </c>
      <c r="B102" s="23">
        <v>5.1332265558305373E-3</v>
      </c>
      <c r="C102" s="24">
        <v>0.51332265558305379</v>
      </c>
      <c r="D102" s="23"/>
      <c r="J102" s="1">
        <f t="shared" si="9"/>
        <v>16.666666666666668</v>
      </c>
      <c r="K102" s="1">
        <v>0.29999999999999716</v>
      </c>
      <c r="L102" s="1">
        <f t="shared" si="10"/>
        <v>0.51332265558305368</v>
      </c>
      <c r="M102" s="1">
        <f t="shared" si="12"/>
        <v>94.053997559856555</v>
      </c>
      <c r="N102" s="27">
        <v>5.0000000000000001E-3</v>
      </c>
      <c r="O102" s="1">
        <f t="shared" si="11"/>
        <v>0.5</v>
      </c>
      <c r="P102" s="26">
        <f t="shared" si="13"/>
        <v>80.999999999999986</v>
      </c>
    </row>
    <row r="103" spans="1:16" x14ac:dyDescent="0.25">
      <c r="A103" s="7">
        <v>16.833333333333332</v>
      </c>
      <c r="B103" s="23">
        <v>4.6001299638578786E-3</v>
      </c>
      <c r="C103" s="24">
        <v>0.46001299638578791</v>
      </c>
      <c r="D103" s="23"/>
      <c r="J103" s="1">
        <f t="shared" si="9"/>
        <v>16.833333333333332</v>
      </c>
      <c r="K103" s="1">
        <v>0.29999999999999716</v>
      </c>
      <c r="L103" s="1">
        <f t="shared" si="10"/>
        <v>0.46001299638578785</v>
      </c>
      <c r="M103" s="1">
        <f t="shared" si="12"/>
        <v>94.51401055624234</v>
      </c>
      <c r="N103" s="27">
        <v>5.0000000000000001E-3</v>
      </c>
      <c r="O103" s="1">
        <f t="shared" si="11"/>
        <v>0.5</v>
      </c>
      <c r="P103" s="26">
        <f t="shared" si="13"/>
        <v>81.499999999999986</v>
      </c>
    </row>
    <row r="104" spans="1:16" x14ac:dyDescent="0.25">
      <c r="A104" s="7">
        <v>17</v>
      </c>
      <c r="B104" s="23">
        <v>4.1160253731108726E-3</v>
      </c>
      <c r="C104" s="24">
        <v>0.41160253731108731</v>
      </c>
      <c r="D104" s="23"/>
      <c r="J104" s="1">
        <f t="shared" si="9"/>
        <v>17</v>
      </c>
      <c r="K104" s="1">
        <v>0.29999999999999716</v>
      </c>
      <c r="L104" s="1">
        <f t="shared" si="10"/>
        <v>0.41160253731108726</v>
      </c>
      <c r="M104" s="1">
        <f t="shared" si="12"/>
        <v>94.925613093553423</v>
      </c>
      <c r="N104" s="27">
        <v>5.0000000000000001E-3</v>
      </c>
      <c r="O104" s="1">
        <f t="shared" si="11"/>
        <v>0.5</v>
      </c>
      <c r="P104" s="26">
        <f t="shared" si="13"/>
        <v>81.999999999999986</v>
      </c>
    </row>
    <row r="105" spans="1:16" x14ac:dyDescent="0.25">
      <c r="A105" s="7">
        <v>17.166666666666668</v>
      </c>
      <c r="B105" s="23">
        <v>3.6790227017438012E-3</v>
      </c>
      <c r="C105" s="24">
        <v>0.3679022701743801</v>
      </c>
      <c r="D105" s="23"/>
      <c r="J105" s="1">
        <f t="shared" si="9"/>
        <v>17.166666666666668</v>
      </c>
      <c r="K105" s="1">
        <v>0.30000000000001137</v>
      </c>
      <c r="L105" s="1">
        <f t="shared" si="10"/>
        <v>0.3679022701743801</v>
      </c>
      <c r="M105" s="1">
        <f t="shared" si="12"/>
        <v>95.293515363727806</v>
      </c>
      <c r="N105" s="27">
        <v>5.0000000000000001E-3</v>
      </c>
      <c r="O105" s="1">
        <f t="shared" si="11"/>
        <v>0.5</v>
      </c>
      <c r="P105" s="26">
        <f t="shared" si="13"/>
        <v>82.499999999999986</v>
      </c>
    </row>
    <row r="106" spans="1:16" x14ac:dyDescent="0.25">
      <c r="A106" s="7">
        <v>17.333333333333332</v>
      </c>
      <c r="B106" s="23">
        <v>3.2868508910359759E-3</v>
      </c>
      <c r="C106" s="24">
        <v>0.32868508910359762</v>
      </c>
      <c r="D106" s="23"/>
      <c r="J106" s="1">
        <f t="shared" si="9"/>
        <v>17.333333333333332</v>
      </c>
      <c r="K106" s="1">
        <v>0.29999999999999716</v>
      </c>
      <c r="L106" s="1">
        <f t="shared" si="10"/>
        <v>0.32868508910359762</v>
      </c>
      <c r="M106" s="1">
        <f t="shared" si="12"/>
        <v>95.622200452831407</v>
      </c>
      <c r="N106" s="27">
        <v>5.0000000000000001E-3</v>
      </c>
      <c r="O106" s="1">
        <f t="shared" si="11"/>
        <v>0.5</v>
      </c>
      <c r="P106" s="26">
        <f t="shared" si="13"/>
        <v>82.999999999999986</v>
      </c>
    </row>
    <row r="107" spans="1:16" x14ac:dyDescent="0.25">
      <c r="A107" s="7">
        <v>17.5</v>
      </c>
      <c r="B107" s="23">
        <v>2.9369473222372899E-3</v>
      </c>
      <c r="C107" s="24">
        <v>0.29369473222372899</v>
      </c>
      <c r="D107" s="23"/>
      <c r="J107" s="1">
        <f t="shared" si="9"/>
        <v>17.5</v>
      </c>
      <c r="K107" s="1">
        <v>0.20000000000000284</v>
      </c>
      <c r="L107" s="1">
        <f t="shared" si="10"/>
        <v>0.29369473222372899</v>
      </c>
      <c r="M107" s="1">
        <f t="shared" si="12"/>
        <v>95.915895185055135</v>
      </c>
      <c r="N107" s="27">
        <v>5.0000000000000001E-3</v>
      </c>
      <c r="O107" s="1">
        <f t="shared" si="11"/>
        <v>0.5</v>
      </c>
      <c r="P107" s="26">
        <f t="shared" si="13"/>
        <v>83.499999999999986</v>
      </c>
    </row>
    <row r="108" spans="1:16" x14ac:dyDescent="0.25">
      <c r="A108" s="7">
        <v>17.666666666666668</v>
      </c>
      <c r="B108" s="23">
        <v>2.6265418426104294E-3</v>
      </c>
      <c r="C108" s="24">
        <v>0.26265418426104292</v>
      </c>
      <c r="D108" s="23"/>
      <c r="J108" s="1">
        <f t="shared" si="9"/>
        <v>17.666666666666668</v>
      </c>
      <c r="K108" s="1">
        <v>0.29999999999999716</v>
      </c>
      <c r="L108" s="1">
        <f t="shared" si="10"/>
        <v>0.26265418426104292</v>
      </c>
      <c r="M108" s="1">
        <f t="shared" si="12"/>
        <v>96.178549369316173</v>
      </c>
      <c r="N108" s="27">
        <v>5.0000000000000001E-3</v>
      </c>
      <c r="O108" s="1">
        <f t="shared" si="11"/>
        <v>0.5</v>
      </c>
      <c r="P108" s="26">
        <f t="shared" si="13"/>
        <v>83.999999999999986</v>
      </c>
    </row>
    <row r="109" spans="1:16" x14ac:dyDescent="0.25">
      <c r="A109" s="7">
        <v>17.833333333333332</v>
      </c>
      <c r="B109" s="23">
        <v>2.3527339135684107E-3</v>
      </c>
      <c r="C109" s="24">
        <v>0.23527339135684106</v>
      </c>
      <c r="D109" s="23"/>
      <c r="J109" s="1">
        <f t="shared" si="9"/>
        <v>17.833333333333332</v>
      </c>
      <c r="K109" s="1">
        <v>0.20000000000000284</v>
      </c>
      <c r="L109" s="1">
        <f t="shared" si="10"/>
        <v>0.23527339135684106</v>
      </c>
      <c r="M109" s="1">
        <f t="shared" si="12"/>
        <v>96.413822760673014</v>
      </c>
      <c r="N109" s="27">
        <v>5.0000000000000001E-3</v>
      </c>
      <c r="O109" s="1">
        <f t="shared" si="11"/>
        <v>0.5</v>
      </c>
      <c r="P109" s="26">
        <f t="shared" si="13"/>
        <v>84.499999999999986</v>
      </c>
    </row>
    <row r="110" spans="1:16" x14ac:dyDescent="0.25">
      <c r="A110" s="7">
        <v>18</v>
      </c>
      <c r="B110" s="23">
        <v>2.1125618063209564E-3</v>
      </c>
      <c r="C110" s="24">
        <v>0.21125618063209564</v>
      </c>
      <c r="D110" s="23"/>
      <c r="J110" s="1">
        <f t="shared" si="9"/>
        <v>18</v>
      </c>
      <c r="K110" s="1">
        <v>0.19999999999998863</v>
      </c>
      <c r="L110" s="1">
        <f t="shared" si="10"/>
        <v>0.21125618063209564</v>
      </c>
      <c r="M110" s="1">
        <f t="shared" si="12"/>
        <v>96.625078941305105</v>
      </c>
      <c r="N110" s="27">
        <v>5.0000000000000001E-3</v>
      </c>
      <c r="O110" s="1">
        <f t="shared" si="11"/>
        <v>0.5</v>
      </c>
      <c r="P110" s="26">
        <f t="shared" si="13"/>
        <v>84.999999999999986</v>
      </c>
    </row>
    <row r="111" spans="1:16" x14ac:dyDescent="0.25">
      <c r="A111" s="7">
        <v>18.166666666666668</v>
      </c>
      <c r="B111" s="23">
        <v>1.9030631636230968E-3</v>
      </c>
      <c r="C111" s="24">
        <v>0.19030631636230969</v>
      </c>
      <c r="D111" s="23"/>
      <c r="J111" s="1">
        <f t="shared" si="9"/>
        <v>18.166666666666668</v>
      </c>
      <c r="K111" s="1">
        <v>0.20000000000000284</v>
      </c>
      <c r="L111" s="1">
        <f t="shared" si="10"/>
        <v>0.19030631636230969</v>
      </c>
      <c r="M111" s="1">
        <f t="shared" si="12"/>
        <v>96.815385257667415</v>
      </c>
      <c r="N111" s="27">
        <v>5.0000000000000001E-3</v>
      </c>
      <c r="O111" s="1">
        <f t="shared" si="11"/>
        <v>0.5</v>
      </c>
      <c r="P111" s="26">
        <f t="shared" si="13"/>
        <v>85.499999999999986</v>
      </c>
    </row>
    <row r="112" spans="1:16" x14ac:dyDescent="0.25">
      <c r="A112" s="7">
        <v>18.333333333333332</v>
      </c>
      <c r="B112" s="23">
        <v>1.7213266073537205E-3</v>
      </c>
      <c r="C112" s="24">
        <v>0.17213266073537206</v>
      </c>
      <c r="D112" s="23"/>
      <c r="J112" s="1">
        <f t="shared" si="9"/>
        <v>18.333333333333332</v>
      </c>
      <c r="K112" s="1">
        <v>0.10000000000000853</v>
      </c>
      <c r="L112" s="1">
        <f t="shared" si="10"/>
        <v>0.17213266073537206</v>
      </c>
      <c r="M112" s="1">
        <f t="shared" si="12"/>
        <v>96.987517918402787</v>
      </c>
      <c r="N112" s="27">
        <v>5.0000000000000001E-3</v>
      </c>
      <c r="O112" s="1">
        <f t="shared" si="11"/>
        <v>0.5</v>
      </c>
      <c r="P112" s="26">
        <f t="shared" si="13"/>
        <v>85.999999999999986</v>
      </c>
    </row>
    <row r="113" spans="1:16" x14ac:dyDescent="0.25">
      <c r="A113" s="7">
        <v>18.5</v>
      </c>
      <c r="B113" s="23">
        <v>1.5645343912248676E-3</v>
      </c>
      <c r="C113" s="24">
        <v>0.15645343912248677</v>
      </c>
      <c r="D113" s="23"/>
      <c r="J113" s="1">
        <f t="shared" si="9"/>
        <v>18.5</v>
      </c>
      <c r="K113" s="1">
        <v>0.19999999999998863</v>
      </c>
      <c r="L113" s="1">
        <f t="shared" si="10"/>
        <v>0.15645343912248677</v>
      </c>
      <c r="M113" s="1">
        <f t="shared" si="12"/>
        <v>97.143971357525274</v>
      </c>
      <c r="N113" s="27">
        <v>5.0000000000000001E-3</v>
      </c>
      <c r="O113" s="1">
        <f t="shared" si="11"/>
        <v>0.5</v>
      </c>
      <c r="P113" s="26">
        <f t="shared" si="13"/>
        <v>86.499999999999986</v>
      </c>
    </row>
    <row r="114" spans="1:16" x14ac:dyDescent="0.25">
      <c r="A114" s="7">
        <v>18.666666666666668</v>
      </c>
      <c r="B114" s="23">
        <v>1.4299963696089125E-3</v>
      </c>
      <c r="C114" s="24">
        <v>0.14299963696089127</v>
      </c>
      <c r="D114" s="23"/>
      <c r="J114" s="1">
        <f t="shared" si="9"/>
        <v>18.666666666666668</v>
      </c>
      <c r="K114" s="1">
        <v>0.10000000000000853</v>
      </c>
      <c r="L114" s="1">
        <f t="shared" si="10"/>
        <v>0.14299963696089124</v>
      </c>
      <c r="M114" s="1">
        <f t="shared" si="12"/>
        <v>97.286970994486168</v>
      </c>
      <c r="N114" s="27">
        <v>5.0000000000000001E-3</v>
      </c>
      <c r="O114" s="1">
        <f t="shared" si="11"/>
        <v>0.5</v>
      </c>
      <c r="P114" s="26">
        <f t="shared" si="13"/>
        <v>86.999999999999986</v>
      </c>
    </row>
    <row r="115" spans="1:16" x14ac:dyDescent="0.25">
      <c r="A115" s="7">
        <v>18.833333333333332</v>
      </c>
      <c r="B115" s="23">
        <v>1.3151757739650707E-3</v>
      </c>
      <c r="C115" s="24">
        <v>0.13151757739650707</v>
      </c>
      <c r="D115" s="23"/>
      <c r="J115" s="1">
        <f t="shared" si="9"/>
        <v>18.833333333333332</v>
      </c>
      <c r="K115" s="1">
        <v>9.9999999999994316E-2</v>
      </c>
      <c r="L115" s="1">
        <f t="shared" si="10"/>
        <v>0.13151757739650707</v>
      </c>
      <c r="M115" s="1">
        <f t="shared" si="12"/>
        <v>97.418488571882676</v>
      </c>
      <c r="N115" s="27">
        <v>5.0000000000000001E-3</v>
      </c>
      <c r="O115" s="1">
        <f t="shared" si="11"/>
        <v>0.5</v>
      </c>
      <c r="P115" s="26">
        <f t="shared" si="13"/>
        <v>87.499999999999986</v>
      </c>
    </row>
    <row r="116" spans="1:16" x14ac:dyDescent="0.25">
      <c r="A116" s="7">
        <v>19</v>
      </c>
      <c r="B116" s="23">
        <v>1.2177074570621502E-3</v>
      </c>
      <c r="C116" s="24">
        <v>0.12177074570621502</v>
      </c>
      <c r="D116" s="23"/>
      <c r="J116" s="1">
        <f t="shared" si="9"/>
        <v>19</v>
      </c>
      <c r="K116" s="1">
        <v>0.10000000000000853</v>
      </c>
      <c r="L116" s="1">
        <f t="shared" si="10"/>
        <v>0.12177074570621502</v>
      </c>
      <c r="M116" s="1">
        <f t="shared" si="12"/>
        <v>97.540259317588891</v>
      </c>
      <c r="N116" s="27">
        <v>4.0000000000000001E-3</v>
      </c>
      <c r="O116" s="1">
        <f t="shared" si="11"/>
        <v>0.4</v>
      </c>
      <c r="P116" s="26">
        <f t="shared" si="13"/>
        <v>87.899999999999991</v>
      </c>
    </row>
    <row r="117" spans="1:16" x14ac:dyDescent="0.25">
      <c r="A117" s="7">
        <v>19.166666666666668</v>
      </c>
      <c r="B117" s="23">
        <v>1.1354093838677854E-3</v>
      </c>
      <c r="C117" s="24">
        <v>0.11354093838677855</v>
      </c>
      <c r="D117" s="23"/>
      <c r="J117" s="1">
        <f t="shared" si="9"/>
        <v>19.166666666666668</v>
      </c>
      <c r="K117" s="1">
        <v>9.9999999999994316E-2</v>
      </c>
      <c r="L117" s="1">
        <f t="shared" si="10"/>
        <v>0.11354093838677855</v>
      </c>
      <c r="M117" s="1">
        <f t="shared" si="12"/>
        <v>97.653800255975668</v>
      </c>
      <c r="N117" s="27">
        <v>4.0000000000000001E-3</v>
      </c>
      <c r="O117" s="1">
        <f t="shared" si="11"/>
        <v>0.4</v>
      </c>
      <c r="P117" s="26">
        <f t="shared" si="13"/>
        <v>88.3</v>
      </c>
    </row>
    <row r="118" spans="1:16" x14ac:dyDescent="0.25">
      <c r="A118" s="7">
        <v>19.333333333333332</v>
      </c>
      <c r="B118" s="23">
        <v>1.0662882202118599E-3</v>
      </c>
      <c r="C118" s="24">
        <v>0.106628822021186</v>
      </c>
      <c r="D118" s="23"/>
      <c r="J118" s="1">
        <f t="shared" si="9"/>
        <v>19.333333333333332</v>
      </c>
      <c r="K118" s="1">
        <v>9.9999999999994316E-2</v>
      </c>
      <c r="L118" s="1">
        <f t="shared" si="10"/>
        <v>0.106628822021186</v>
      </c>
      <c r="M118" s="1">
        <f t="shared" si="12"/>
        <v>97.760429077996861</v>
      </c>
      <c r="N118" s="27">
        <v>4.0000000000000001E-3</v>
      </c>
      <c r="O118" s="1">
        <f t="shared" si="11"/>
        <v>0.4</v>
      </c>
      <c r="P118" s="26">
        <f t="shared" si="13"/>
        <v>88.7</v>
      </c>
    </row>
    <row r="119" spans="1:16" x14ac:dyDescent="0.25">
      <c r="A119" s="7">
        <v>19.5</v>
      </c>
      <c r="B119" s="23">
        <v>1.0085399011339627E-3</v>
      </c>
      <c r="C119" s="24">
        <v>0.10085399011339627</v>
      </c>
      <c r="D119" s="23"/>
      <c r="J119" s="1">
        <f t="shared" si="9"/>
        <v>19.5</v>
      </c>
      <c r="K119" s="1">
        <v>0.10000000000000853</v>
      </c>
      <c r="L119" s="1">
        <f t="shared" si="10"/>
        <v>0.10085399011339627</v>
      </c>
      <c r="M119" s="1">
        <f t="shared" si="12"/>
        <v>97.861283068110254</v>
      </c>
      <c r="N119" s="27">
        <v>4.0000000000000001E-3</v>
      </c>
      <c r="O119" s="1">
        <f t="shared" si="11"/>
        <v>0.4</v>
      </c>
      <c r="P119" s="26">
        <f t="shared" si="13"/>
        <v>89.100000000000009</v>
      </c>
    </row>
    <row r="120" spans="1:16" x14ac:dyDescent="0.25">
      <c r="A120" s="7">
        <v>19.666666666666668</v>
      </c>
      <c r="B120" s="23">
        <v>9.6054605611648001E-4</v>
      </c>
      <c r="C120" s="24">
        <v>9.6054605611647997E-2</v>
      </c>
      <c r="D120" s="23"/>
      <c r="J120" s="1">
        <f t="shared" si="9"/>
        <v>19.666666666666668</v>
      </c>
      <c r="K120" s="1">
        <v>9.9999999999994316E-2</v>
      </c>
      <c r="L120" s="1">
        <f t="shared" si="10"/>
        <v>9.6054605611647997E-2</v>
      </c>
      <c r="M120" s="1">
        <f t="shared" si="12"/>
        <v>97.957337673721895</v>
      </c>
      <c r="N120" s="27">
        <v>4.0000000000000001E-3</v>
      </c>
      <c r="O120" s="1">
        <f t="shared" si="11"/>
        <v>0.4</v>
      </c>
      <c r="P120" s="26">
        <f t="shared" si="13"/>
        <v>89.500000000000014</v>
      </c>
    </row>
    <row r="121" spans="1:16" x14ac:dyDescent="0.25">
      <c r="A121" s="7">
        <v>19.833333333333332</v>
      </c>
      <c r="B121" s="23">
        <v>9.2086713459931229E-4</v>
      </c>
      <c r="C121" s="24">
        <v>9.2086713459931233E-2</v>
      </c>
      <c r="D121" s="23"/>
      <c r="J121" s="1">
        <f t="shared" si="9"/>
        <v>19.833333333333332</v>
      </c>
      <c r="K121" s="1">
        <v>0.10000000000000853</v>
      </c>
      <c r="L121" s="1">
        <f t="shared" si="10"/>
        <v>9.2086713459931233E-2</v>
      </c>
      <c r="M121" s="1">
        <f t="shared" si="12"/>
        <v>98.04942438718183</v>
      </c>
      <c r="N121" s="27">
        <v>4.0000000000000001E-3</v>
      </c>
      <c r="O121" s="1">
        <f t="shared" si="11"/>
        <v>0.4</v>
      </c>
      <c r="P121" s="26">
        <f t="shared" si="13"/>
        <v>89.90000000000002</v>
      </c>
    </row>
    <row r="122" spans="1:16" x14ac:dyDescent="0.25">
      <c r="A122" s="7">
        <v>20</v>
      </c>
      <c r="B122" s="23">
        <v>8.8823301878396049E-4</v>
      </c>
      <c r="C122" s="24">
        <v>8.8823301878396044E-2</v>
      </c>
      <c r="D122" s="23"/>
      <c r="J122" s="1">
        <f t="shared" si="9"/>
        <v>20</v>
      </c>
      <c r="K122" s="1">
        <v>9.9999999999994316E-2</v>
      </c>
      <c r="L122" s="1">
        <f t="shared" si="10"/>
        <v>8.8823301878396044E-2</v>
      </c>
      <c r="M122" s="1">
        <f t="shared" si="12"/>
        <v>98.138247689060222</v>
      </c>
      <c r="N122" s="27">
        <v>4.0000000000000001E-3</v>
      </c>
      <c r="O122" s="1">
        <f t="shared" si="11"/>
        <v>0.4</v>
      </c>
      <c r="P122" s="26">
        <f t="shared" si="13"/>
        <v>90.300000000000026</v>
      </c>
    </row>
    <row r="123" spans="1:16" x14ac:dyDescent="0.25">
      <c r="A123" s="7">
        <v>20.166666666666668</v>
      </c>
      <c r="B123" s="23">
        <v>8.6153183805742707E-4</v>
      </c>
      <c r="C123" s="24">
        <v>8.6153183805742717E-2</v>
      </c>
      <c r="D123" s="23"/>
      <c r="J123" s="1">
        <f t="shared" si="9"/>
        <v>20.166666666666668</v>
      </c>
      <c r="K123" s="1">
        <v>9.9999999999994316E-2</v>
      </c>
      <c r="L123" s="1">
        <f t="shared" si="10"/>
        <v>8.6153183805742703E-2</v>
      </c>
      <c r="M123" s="1">
        <f t="shared" si="12"/>
        <v>98.224400872865971</v>
      </c>
      <c r="N123" s="27">
        <v>4.0000000000000001E-3</v>
      </c>
      <c r="O123" s="1">
        <f t="shared" si="11"/>
        <v>0.4</v>
      </c>
      <c r="P123" s="26">
        <f t="shared" si="13"/>
        <v>90.700000000000031</v>
      </c>
    </row>
    <row r="124" spans="1:16" x14ac:dyDescent="0.25">
      <c r="A124" s="7">
        <v>20.333333333333332</v>
      </c>
      <c r="B124" s="23">
        <v>8.3979761621931818E-4</v>
      </c>
      <c r="C124" s="24">
        <v>8.3979761621931812E-2</v>
      </c>
      <c r="D124" s="23"/>
      <c r="J124" s="1">
        <f t="shared" si="9"/>
        <v>20.333333333333332</v>
      </c>
      <c r="K124" s="1">
        <v>0.10000000000000853</v>
      </c>
      <c r="L124" s="1">
        <f t="shared" si="10"/>
        <v>8.3979761621931812E-2</v>
      </c>
      <c r="M124" s="1">
        <f t="shared" si="12"/>
        <v>98.308380634487904</v>
      </c>
      <c r="N124" s="27">
        <v>4.0000000000000001E-3</v>
      </c>
      <c r="O124" s="1">
        <f t="shared" si="11"/>
        <v>0.4</v>
      </c>
      <c r="P124" s="26">
        <f t="shared" si="13"/>
        <v>91.100000000000037</v>
      </c>
    </row>
    <row r="125" spans="1:16" x14ac:dyDescent="0.25">
      <c r="A125" s="7">
        <v>20.5</v>
      </c>
      <c r="B125" s="23">
        <v>8.2219729424159538E-4</v>
      </c>
      <c r="C125" s="24">
        <v>8.2219729424159546E-2</v>
      </c>
      <c r="D125" s="23"/>
      <c r="J125" s="1">
        <f t="shared" si="9"/>
        <v>20.5</v>
      </c>
      <c r="K125" s="1">
        <v>0</v>
      </c>
      <c r="L125" s="1">
        <f t="shared" si="10"/>
        <v>8.2219729424159532E-2</v>
      </c>
      <c r="M125" s="1">
        <f t="shared" si="12"/>
        <v>98.390600363912057</v>
      </c>
      <c r="N125" s="27">
        <v>4.0000000000000001E-3</v>
      </c>
      <c r="O125" s="1">
        <f t="shared" si="11"/>
        <v>0.4</v>
      </c>
      <c r="P125" s="26">
        <f t="shared" si="13"/>
        <v>91.500000000000043</v>
      </c>
    </row>
    <row r="126" spans="1:16" x14ac:dyDescent="0.25">
      <c r="A126" s="7">
        <v>20.666666666666668</v>
      </c>
      <c r="B126" s="23">
        <v>8.0801758192135253E-4</v>
      </c>
      <c r="C126" s="24">
        <v>8.0801758192135253E-2</v>
      </c>
      <c r="D126" s="23"/>
      <c r="J126" s="1">
        <f t="shared" si="9"/>
        <v>20.666666666666668</v>
      </c>
      <c r="K126" s="1">
        <v>9.9999999999994316E-2</v>
      </c>
      <c r="L126" s="1">
        <f t="shared" si="10"/>
        <v>8.0801758192135253E-2</v>
      </c>
      <c r="M126" s="1">
        <f t="shared" si="12"/>
        <v>98.471402122104195</v>
      </c>
      <c r="N126" s="27">
        <v>4.0000000000000001E-3</v>
      </c>
      <c r="O126" s="1">
        <f t="shared" si="11"/>
        <v>0.4</v>
      </c>
      <c r="P126" s="26">
        <f t="shared" si="13"/>
        <v>91.900000000000048</v>
      </c>
    </row>
    <row r="127" spans="1:16" x14ac:dyDescent="0.25">
      <c r="A127" s="7">
        <v>20.833333333333332</v>
      </c>
      <c r="B127" s="23">
        <v>7.9665200507005182E-4</v>
      </c>
      <c r="C127" s="24">
        <v>7.9665200507005179E-2</v>
      </c>
      <c r="D127" s="23"/>
      <c r="J127" s="1">
        <f t="shared" si="9"/>
        <v>20.833333333333332</v>
      </c>
      <c r="K127" s="1">
        <v>0.10000000000000853</v>
      </c>
      <c r="L127" s="1">
        <f t="shared" si="10"/>
        <v>7.9665200507005179E-2</v>
      </c>
      <c r="M127" s="1">
        <f t="shared" si="12"/>
        <v>98.551067322611203</v>
      </c>
      <c r="N127" s="27">
        <v>4.0000000000000001E-3</v>
      </c>
      <c r="O127" s="1">
        <f t="shared" si="11"/>
        <v>0.4</v>
      </c>
      <c r="P127" s="26">
        <f t="shared" si="13"/>
        <v>92.300000000000054</v>
      </c>
    </row>
    <row r="128" spans="1:16" x14ac:dyDescent="0.25">
      <c r="A128" s="7">
        <v>21</v>
      </c>
      <c r="B128" s="23">
        <v>7.8758843355915883E-4</v>
      </c>
      <c r="C128" s="24">
        <v>7.8758843355915889E-2</v>
      </c>
      <c r="D128" s="23"/>
      <c r="J128" s="1">
        <f t="shared" si="9"/>
        <v>21</v>
      </c>
      <c r="K128" s="1">
        <v>9.9999999999994316E-2</v>
      </c>
      <c r="L128" s="1">
        <f t="shared" si="10"/>
        <v>7.8758843355915889E-2</v>
      </c>
      <c r="M128" s="1">
        <f t="shared" si="12"/>
        <v>98.629826165967117</v>
      </c>
      <c r="N128" s="27">
        <v>4.0000000000000001E-3</v>
      </c>
      <c r="O128" s="1">
        <f t="shared" si="11"/>
        <v>0.4</v>
      </c>
      <c r="P128" s="26">
        <f t="shared" si="13"/>
        <v>92.70000000000006</v>
      </c>
    </row>
    <row r="129" spans="1:16" x14ac:dyDescent="0.25">
      <c r="A129" s="7">
        <v>21.166666666666668</v>
      </c>
      <c r="B129" s="23">
        <v>7.8039730156794168E-4</v>
      </c>
      <c r="C129" s="24">
        <v>7.8039730156794176E-2</v>
      </c>
      <c r="D129" s="23"/>
      <c r="J129" s="1">
        <f t="shared" si="9"/>
        <v>21.166666666666668</v>
      </c>
      <c r="K129" s="1">
        <v>0</v>
      </c>
      <c r="L129" s="1">
        <f t="shared" si="10"/>
        <v>7.8039730156794163E-2</v>
      </c>
      <c r="M129" s="1">
        <f t="shared" si="12"/>
        <v>98.707865896123906</v>
      </c>
      <c r="N129" s="27">
        <v>4.0000000000000001E-3</v>
      </c>
      <c r="O129" s="1">
        <f t="shared" si="11"/>
        <v>0.4</v>
      </c>
      <c r="P129" s="26">
        <f t="shared" si="13"/>
        <v>93.100000000000065</v>
      </c>
    </row>
    <row r="130" spans="1:16" x14ac:dyDescent="0.25">
      <c r="A130" s="7">
        <v>21.333333333333332</v>
      </c>
      <c r="B130" s="23">
        <v>7.7472066599639801E-4</v>
      </c>
      <c r="C130" s="24">
        <v>7.7472066599639802E-2</v>
      </c>
      <c r="D130" s="23"/>
      <c r="J130" s="1">
        <f t="shared" ref="J130:J146" si="14">A130</f>
        <v>21.333333333333332</v>
      </c>
      <c r="K130" s="1">
        <v>0</v>
      </c>
      <c r="L130" s="1">
        <f t="shared" si="10"/>
        <v>7.7472066599639802E-2</v>
      </c>
      <c r="M130" s="1">
        <f t="shared" si="12"/>
        <v>98.785337962723546</v>
      </c>
      <c r="N130" s="27">
        <v>4.0000000000000001E-3</v>
      </c>
      <c r="O130" s="1">
        <f t="shared" si="11"/>
        <v>0.4</v>
      </c>
      <c r="P130" s="26">
        <f t="shared" si="13"/>
        <v>93.500000000000071</v>
      </c>
    </row>
    <row r="131" spans="1:16" x14ac:dyDescent="0.25">
      <c r="A131" s="7">
        <v>21.5</v>
      </c>
      <c r="B131" s="23">
        <v>7.7026219283573031E-4</v>
      </c>
      <c r="C131" s="24">
        <v>7.7026219283573033E-2</v>
      </c>
      <c r="D131" s="23"/>
      <c r="J131" s="1">
        <f t="shared" si="14"/>
        <v>21.5</v>
      </c>
      <c r="K131" s="1">
        <v>0</v>
      </c>
      <c r="L131" s="1">
        <f t="shared" ref="L131:L146" si="15">B131*100</f>
        <v>7.7026219283573033E-2</v>
      </c>
      <c r="M131" s="1">
        <f t="shared" si="12"/>
        <v>98.862364182007113</v>
      </c>
      <c r="N131" s="27">
        <v>4.0000000000000001E-3</v>
      </c>
      <c r="O131" s="1">
        <f t="shared" ref="O131:O146" si="16">N131*100</f>
        <v>0.4</v>
      </c>
      <c r="P131" s="26">
        <f t="shared" si="13"/>
        <v>93.900000000000077</v>
      </c>
    </row>
    <row r="132" spans="1:16" x14ac:dyDescent="0.25">
      <c r="A132" s="7">
        <v>21.666666666666668</v>
      </c>
      <c r="B132" s="23">
        <v>7.6677811443413315E-4</v>
      </c>
      <c r="C132" s="24">
        <v>7.6677811443413318E-2</v>
      </c>
      <c r="D132" s="23"/>
      <c r="J132" s="1">
        <f t="shared" si="14"/>
        <v>21.666666666666668</v>
      </c>
      <c r="K132" s="1">
        <v>0</v>
      </c>
      <c r="L132" s="1">
        <f t="shared" si="15"/>
        <v>7.6677811443413318E-2</v>
      </c>
      <c r="M132" s="1">
        <f t="shared" ref="M132:M146" si="17">M131+L132</f>
        <v>98.93904199345053</v>
      </c>
      <c r="N132" s="27">
        <v>4.0000000000000001E-3</v>
      </c>
      <c r="O132" s="1">
        <f t="shared" si="16"/>
        <v>0.4</v>
      </c>
      <c r="P132" s="26">
        <f t="shared" ref="P132:P146" si="18">N132*100+P131</f>
        <v>94.300000000000082</v>
      </c>
    </row>
    <row r="133" spans="1:16" x14ac:dyDescent="0.25">
      <c r="A133" s="7">
        <v>21.833333333333332</v>
      </c>
      <c r="B133" s="23">
        <v>7.6406916275091857E-4</v>
      </c>
      <c r="C133" s="24">
        <v>7.6406916275091857E-2</v>
      </c>
      <c r="D133" s="23"/>
      <c r="J133" s="1">
        <f t="shared" si="14"/>
        <v>21.833333333333332</v>
      </c>
      <c r="K133" s="1">
        <v>0</v>
      </c>
      <c r="L133" s="1">
        <f t="shared" si="15"/>
        <v>7.6406916275091857E-2</v>
      </c>
      <c r="M133" s="1">
        <f t="shared" si="17"/>
        <v>99.01544890972562</v>
      </c>
      <c r="N133" s="27">
        <v>4.0000000000000001E-3</v>
      </c>
      <c r="O133" s="1">
        <f t="shared" si="16"/>
        <v>0.4</v>
      </c>
      <c r="P133" s="26">
        <f t="shared" si="18"/>
        <v>94.700000000000088</v>
      </c>
    </row>
    <row r="134" spans="1:16" x14ac:dyDescent="0.25">
      <c r="A134" s="7">
        <v>22</v>
      </c>
      <c r="B134" s="23">
        <v>7.6197345424580004E-4</v>
      </c>
      <c r="C134" s="24">
        <v>7.6197345424579996E-2</v>
      </c>
      <c r="D134" s="23"/>
      <c r="J134" s="1">
        <f t="shared" si="14"/>
        <v>22</v>
      </c>
      <c r="K134" s="1">
        <v>0</v>
      </c>
      <c r="L134" s="1">
        <f t="shared" si="15"/>
        <v>7.619734542458001E-2</v>
      </c>
      <c r="M134" s="1">
        <f t="shared" si="17"/>
        <v>99.091646255150195</v>
      </c>
      <c r="N134" s="27">
        <v>4.0000000000000001E-3</v>
      </c>
      <c r="O134" s="1">
        <f t="shared" si="16"/>
        <v>0.4</v>
      </c>
      <c r="P134" s="26">
        <f t="shared" si="18"/>
        <v>95.100000000000094</v>
      </c>
    </row>
    <row r="135" spans="1:16" x14ac:dyDescent="0.25">
      <c r="A135" s="7">
        <v>22.166666666666668</v>
      </c>
      <c r="B135" s="23">
        <v>7.6036028018214882E-4</v>
      </c>
      <c r="C135" s="24">
        <v>7.603602801821488E-2</v>
      </c>
      <c r="D135" s="23"/>
      <c r="J135" s="1">
        <f t="shared" si="14"/>
        <v>22.166666666666668</v>
      </c>
      <c r="K135" s="1">
        <v>0</v>
      </c>
      <c r="L135" s="1">
        <f t="shared" si="15"/>
        <v>7.603602801821488E-2</v>
      </c>
      <c r="M135" s="1">
        <f t="shared" si="17"/>
        <v>99.167682283168404</v>
      </c>
      <c r="N135" s="27">
        <v>4.0000000000000001E-3</v>
      </c>
      <c r="O135" s="1">
        <f t="shared" si="16"/>
        <v>0.4</v>
      </c>
      <c r="P135" s="26">
        <f t="shared" si="18"/>
        <v>95.500000000000099</v>
      </c>
    </row>
    <row r="136" spans="1:16" x14ac:dyDescent="0.25">
      <c r="A136" s="7">
        <v>22.333333333333332</v>
      </c>
      <c r="B136" s="23">
        <v>7.5912474088872636E-4</v>
      </c>
      <c r="C136" s="24">
        <v>7.5912474088872639E-2</v>
      </c>
      <c r="D136" s="23"/>
      <c r="J136" s="1">
        <f t="shared" si="14"/>
        <v>22.333333333333332</v>
      </c>
      <c r="K136" s="1">
        <v>0</v>
      </c>
      <c r="L136" s="1">
        <f t="shared" si="15"/>
        <v>7.5912474088872639E-2</v>
      </c>
      <c r="M136" s="1">
        <f t="shared" si="17"/>
        <v>99.24359475725727</v>
      </c>
      <c r="N136" s="27">
        <v>4.0000000000000001E-3</v>
      </c>
      <c r="O136" s="1">
        <f t="shared" si="16"/>
        <v>0.4</v>
      </c>
      <c r="P136" s="26">
        <f t="shared" si="18"/>
        <v>95.900000000000105</v>
      </c>
    </row>
    <row r="137" spans="1:16" x14ac:dyDescent="0.25">
      <c r="A137" s="7">
        <v>22.5</v>
      </c>
      <c r="B137" s="23">
        <v>7.5818315292672462E-4</v>
      </c>
      <c r="C137" s="24">
        <v>7.5818315292672467E-2</v>
      </c>
      <c r="D137" s="23"/>
      <c r="J137" s="1">
        <f t="shared" si="14"/>
        <v>22.5</v>
      </c>
      <c r="K137" s="1">
        <v>0</v>
      </c>
      <c r="L137" s="1">
        <f t="shared" si="15"/>
        <v>7.5818315292672467E-2</v>
      </c>
      <c r="M137" s="1">
        <f t="shared" si="17"/>
        <v>99.319413072549949</v>
      </c>
      <c r="N137" s="27">
        <v>4.0000000000000001E-3</v>
      </c>
      <c r="O137" s="1">
        <f t="shared" si="16"/>
        <v>0.4</v>
      </c>
      <c r="P137" s="26">
        <f t="shared" si="18"/>
        <v>96.300000000000111</v>
      </c>
    </row>
    <row r="138" spans="1:16" x14ac:dyDescent="0.25">
      <c r="A138" s="7">
        <v>22.666666666666668</v>
      </c>
      <c r="B138" s="23">
        <v>7.5746915315569004E-4</v>
      </c>
      <c r="C138" s="24">
        <v>7.5746915315569013E-2</v>
      </c>
      <c r="D138" s="23"/>
      <c r="J138" s="1">
        <f t="shared" si="14"/>
        <v>22.666666666666668</v>
      </c>
      <c r="K138" s="1">
        <v>0</v>
      </c>
      <c r="L138" s="1">
        <f t="shared" si="15"/>
        <v>7.5746915315568999E-2</v>
      </c>
      <c r="M138" s="1">
        <f t="shared" si="17"/>
        <v>99.395159987865512</v>
      </c>
      <c r="N138" s="27">
        <v>4.0000000000000001E-3</v>
      </c>
      <c r="O138" s="1">
        <f t="shared" si="16"/>
        <v>0.4</v>
      </c>
      <c r="P138" s="26">
        <f t="shared" si="18"/>
        <v>96.700000000000117</v>
      </c>
    </row>
    <row r="139" spans="1:16" x14ac:dyDescent="0.25">
      <c r="A139" s="7">
        <v>22.833333333333332</v>
      </c>
      <c r="B139" s="23">
        <v>7.5693042243929129E-4</v>
      </c>
      <c r="C139" s="24">
        <v>7.5693042243929129E-2</v>
      </c>
      <c r="D139" s="23"/>
      <c r="J139" s="1">
        <f t="shared" si="14"/>
        <v>22.833333333333332</v>
      </c>
      <c r="K139" s="1">
        <v>0</v>
      </c>
      <c r="L139" s="1">
        <f t="shared" si="15"/>
        <v>7.5693042243929129E-2</v>
      </c>
      <c r="M139" s="1">
        <f t="shared" si="17"/>
        <v>99.470853030109438</v>
      </c>
      <c r="N139" s="27">
        <v>4.0000000000000001E-3</v>
      </c>
      <c r="O139" s="1">
        <f t="shared" si="16"/>
        <v>0.4</v>
      </c>
      <c r="P139" s="26">
        <f t="shared" si="18"/>
        <v>97.100000000000122</v>
      </c>
    </row>
    <row r="140" spans="1:16" x14ac:dyDescent="0.25">
      <c r="A140" s="7">
        <v>23</v>
      </c>
      <c r="B140" s="23">
        <v>7.5652595331530362E-4</v>
      </c>
      <c r="C140" s="24">
        <v>7.5652595331530362E-2</v>
      </c>
      <c r="D140" s="23"/>
      <c r="J140" s="1">
        <f t="shared" si="14"/>
        <v>23</v>
      </c>
      <c r="K140" s="1">
        <v>0</v>
      </c>
      <c r="L140" s="1">
        <f t="shared" si="15"/>
        <v>7.5652595331530362E-2</v>
      </c>
      <c r="M140" s="1">
        <f t="shared" si="17"/>
        <v>99.546505625440972</v>
      </c>
      <c r="N140" s="27">
        <v>4.0000000000000001E-3</v>
      </c>
      <c r="O140" s="1">
        <f t="shared" si="16"/>
        <v>0.4</v>
      </c>
      <c r="P140" s="26">
        <f t="shared" si="18"/>
        <v>97.500000000000128</v>
      </c>
    </row>
    <row r="141" spans="1:16" x14ac:dyDescent="0.25">
      <c r="A141" s="7">
        <v>23.166666666666668</v>
      </c>
      <c r="B141" s="23">
        <v>7.5622378960755435E-4</v>
      </c>
      <c r="C141" s="24">
        <v>7.5622378960755438E-2</v>
      </c>
      <c r="D141" s="23"/>
      <c r="J141" s="1">
        <f t="shared" si="14"/>
        <v>23.166666666666668</v>
      </c>
      <c r="K141" s="1">
        <v>0</v>
      </c>
      <c r="L141" s="1">
        <f t="shared" si="15"/>
        <v>7.5622378960755438E-2</v>
      </c>
      <c r="M141" s="1">
        <f t="shared" si="17"/>
        <v>99.622128004401731</v>
      </c>
      <c r="N141" s="27">
        <v>4.0000000000000001E-3</v>
      </c>
      <c r="O141" s="1">
        <f t="shared" si="16"/>
        <v>0.4</v>
      </c>
      <c r="P141" s="26">
        <f t="shared" si="18"/>
        <v>97.900000000000134</v>
      </c>
    </row>
    <row r="142" spans="1:16" x14ac:dyDescent="0.25">
      <c r="A142" s="7">
        <v>23.333333333333332</v>
      </c>
      <c r="B142" s="23">
        <v>7.5599917102304689E-4</v>
      </c>
      <c r="C142" s="24">
        <v>7.5599917102304681E-2</v>
      </c>
      <c r="D142" s="23"/>
      <c r="J142" s="1">
        <f t="shared" si="14"/>
        <v>23.333333333333332</v>
      </c>
      <c r="K142" s="1">
        <v>0</v>
      </c>
      <c r="L142" s="1">
        <f t="shared" si="15"/>
        <v>7.5599917102304695E-2</v>
      </c>
      <c r="M142" s="1">
        <f t="shared" si="17"/>
        <v>99.69772792150404</v>
      </c>
      <c r="N142" s="27">
        <v>4.0000000000000001E-3</v>
      </c>
      <c r="O142" s="1">
        <f t="shared" si="16"/>
        <v>0.4</v>
      </c>
      <c r="P142" s="26">
        <f t="shared" si="18"/>
        <v>98.300000000000139</v>
      </c>
    </row>
    <row r="143" spans="1:16" x14ac:dyDescent="0.25">
      <c r="A143" s="7">
        <v>23.5</v>
      </c>
      <c r="B143" s="23">
        <v>7.5583302170754627E-4</v>
      </c>
      <c r="C143" s="24">
        <v>7.5583302170754624E-2</v>
      </c>
      <c r="D143" s="23"/>
      <c r="J143" s="1">
        <f t="shared" si="14"/>
        <v>23.5</v>
      </c>
      <c r="K143" s="1">
        <v>0</v>
      </c>
      <c r="L143" s="1">
        <f t="shared" si="15"/>
        <v>7.5583302170754624E-2</v>
      </c>
      <c r="M143" s="1">
        <f t="shared" si="17"/>
        <v>99.773311223674796</v>
      </c>
      <c r="N143" s="27">
        <v>4.0000000000000001E-3</v>
      </c>
      <c r="O143" s="1">
        <f t="shared" si="16"/>
        <v>0.4</v>
      </c>
      <c r="P143" s="26">
        <f t="shared" si="18"/>
        <v>98.700000000000145</v>
      </c>
    </row>
    <row r="144" spans="1:16" x14ac:dyDescent="0.25">
      <c r="A144" s="7">
        <v>23.666666666666668</v>
      </c>
      <c r="B144" s="23">
        <v>7.5571072808638842E-4</v>
      </c>
      <c r="C144" s="24">
        <v>7.5571072808638853E-2</v>
      </c>
      <c r="D144" s="23"/>
      <c r="J144" s="1">
        <f t="shared" si="14"/>
        <v>23.666666666666668</v>
      </c>
      <c r="K144" s="1">
        <v>0</v>
      </c>
      <c r="L144" s="1">
        <f t="shared" si="15"/>
        <v>7.5571072808638839E-2</v>
      </c>
      <c r="M144" s="1">
        <f t="shared" si="17"/>
        <v>99.848882296483438</v>
      </c>
      <c r="N144" s="27">
        <v>4.0000000000000001E-3</v>
      </c>
      <c r="O144" s="1">
        <f t="shared" si="16"/>
        <v>0.4</v>
      </c>
      <c r="P144" s="26">
        <f t="shared" si="18"/>
        <v>99.100000000000151</v>
      </c>
    </row>
    <row r="145" spans="1:16" x14ac:dyDescent="0.25">
      <c r="A145" s="7">
        <v>23.833333333333332</v>
      </c>
      <c r="B145" s="23">
        <v>7.5562115775143197E-4</v>
      </c>
      <c r="C145" s="24">
        <v>7.5562115775143199E-2</v>
      </c>
      <c r="D145" s="23"/>
      <c r="J145" s="1">
        <f t="shared" si="14"/>
        <v>23.833333333333332</v>
      </c>
      <c r="K145" s="1">
        <v>0</v>
      </c>
      <c r="L145" s="1">
        <f t="shared" si="15"/>
        <v>7.5562115775143199E-2</v>
      </c>
      <c r="M145" s="1">
        <f t="shared" si="17"/>
        <v>99.92444441225858</v>
      </c>
      <c r="N145" s="27">
        <v>4.0000000000000001E-3</v>
      </c>
      <c r="O145" s="1">
        <f t="shared" si="16"/>
        <v>0.4</v>
      </c>
      <c r="P145" s="26">
        <f t="shared" si="18"/>
        <v>99.500000000000156</v>
      </c>
    </row>
    <row r="146" spans="1:16" x14ac:dyDescent="0.25">
      <c r="A146" s="7">
        <v>24</v>
      </c>
      <c r="B146" s="23">
        <v>7.5555587741479543E-4</v>
      </c>
      <c r="C146" s="24">
        <v>7.5555587741479538E-2</v>
      </c>
      <c r="D146" s="23"/>
      <c r="J146" s="1">
        <f t="shared" si="14"/>
        <v>24</v>
      </c>
      <c r="K146" s="1">
        <v>0</v>
      </c>
      <c r="L146" s="1">
        <f t="shared" si="15"/>
        <v>7.5555587741479538E-2</v>
      </c>
      <c r="M146" s="1">
        <f t="shared" si="17"/>
        <v>100.00000000000006</v>
      </c>
      <c r="N146" s="27">
        <v>4.0000000000000001E-3</v>
      </c>
      <c r="O146" s="1">
        <f t="shared" si="16"/>
        <v>0.4</v>
      </c>
      <c r="P146" s="26">
        <f t="shared" si="18"/>
        <v>99.900000000000162</v>
      </c>
    </row>
  </sheetData>
  <conditionalFormatting sqref="K2:K146">
    <cfRule type="top10" dxfId="3" priority="4" rank="6"/>
  </conditionalFormatting>
  <conditionalFormatting sqref="L2:L146">
    <cfRule type="top10" dxfId="2" priority="3" rank="6"/>
  </conditionalFormatting>
  <conditionalFormatting sqref="N1:P1 P2:P146">
    <cfRule type="top10" dxfId="1" priority="2" rank="6"/>
  </conditionalFormatting>
  <conditionalFormatting sqref="N3:N146">
    <cfRule type="top10" dxfId="0" priority="8" rank="6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uildBellPMP_WithBase">
                <anchor moveWithCells="1" sizeWithCells="1">
                  <from>
                    <xdr:col>6</xdr:col>
                    <xdr:colOff>266700</xdr:colOff>
                    <xdr:row>1</xdr:row>
                    <xdr:rowOff>104775</xdr:rowOff>
                  </from>
                  <to>
                    <xdr:col>8</xdr:col>
                    <xdr:colOff>600075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FM 10 min precipitation</vt:lpstr>
      <vt:lpstr>ignore this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Mojtaba Keivanlou</dc:creator>
  <cp:lastModifiedBy>Mojtaba Keivanlou</cp:lastModifiedBy>
  <dcterms:created xsi:type="dcterms:W3CDTF">2025-08-25T14:43:16Z</dcterms:created>
  <dcterms:modified xsi:type="dcterms:W3CDTF">2026-09-22T14:49:12Z</dcterms:modified>
</cp:coreProperties>
</file>